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binary"/>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ustomData/itemProps1.xml" ContentType="application/vnd.ms-excel.customDataPropertie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workbookPr defaultThemeVersion="124226"/>
  <mc:AlternateContent xmlns:mc="http://schemas.openxmlformats.org/markup-compatibility/2006">
    <mc:Choice Requires="x15">
      <x15ac:absPath xmlns:x15ac="http://schemas.microsoft.com/office/spreadsheetml/2010/11/ac" url="C:\Users\anobs\Documents\GitHub\MSDS-7330-Term-Paper-1\Explore\"/>
    </mc:Choice>
  </mc:AlternateContent>
  <bookViews>
    <workbookView xWindow="120" yWindow="90" windowWidth="17160" windowHeight="27135"/>
  </bookViews>
  <sheets>
    <sheet name="Sheet1" sheetId="1" r:id="rId1"/>
    <sheet name="Sheet2" sheetId="2" r:id="rId2"/>
    <sheet name="Sheet3" sheetId="3" r:id="rId3"/>
    <sheet name="Sheet4" sheetId="4" r:id="rId4"/>
  </sheets>
  <definedNames>
    <definedName name="brand" localSheetId="0">Sheet1!$F$37:$I$56</definedName>
    <definedName name="brand_group" localSheetId="0">Sheet1!$F$27:$G$30</definedName>
    <definedName name="brand_owner" localSheetId="0">Sheet1!$N$37:$Q$47</definedName>
    <definedName name="brand_owner_bsin" localSheetId="0">Sheet1!$K$37:$L$56</definedName>
    <definedName name="brand_type" localSheetId="0">Sheet1!$I$27:$J$29</definedName>
    <definedName name="ExternalData" localSheetId="0">Sheet1!$J$2:$M$18</definedName>
    <definedName name="gs1_gcp" localSheetId="0">Sheet1!$A$62:$W$69</definedName>
    <definedName name="gs1_gcp_gpc" localSheetId="0">Sheet1!$B$101:$F$116</definedName>
    <definedName name="gs1_gcp_hier" localSheetId="0">Sheet1!$A$37:$D$52</definedName>
    <definedName name="gs1_gcp_nb">Sheet1!$P$98:$R$111</definedName>
    <definedName name="gs1_gcp_rc" localSheetId="0">Sheet1!$T$37:$V$53</definedName>
    <definedName name="gs1_prefix" localSheetId="0">Sheet1!$K$103:$M$115</definedName>
    <definedName name="gtin" localSheetId="0">Sheet1!$A$75:$U$95</definedName>
    <definedName name="GTIN_Tables_And_Record_Counts" localSheetId="0">Sheet1!$B$2:$K$18</definedName>
    <definedName name="label" localSheetId="0">Sheet1!$D$155:$F$157</definedName>
    <definedName name="label_gtn" localSheetId="0">Sheet1!$A$155:$B$158</definedName>
    <definedName name="nutrition" localSheetId="0">Sheet1!$A$125:$AD$145</definedName>
    <definedName name="pkg_type">Sheet1!$W$74:$Y$95</definedName>
    <definedName name="_xlnm.Print_Area" localSheetId="0">Sheet1!$A$1:$AD$146</definedName>
  </definedNames>
  <calcPr calcId="171027"/>
</workbook>
</file>

<file path=xl/calcChain.xml><?xml version="1.0" encoding="utf-8"?>
<calcChain xmlns="http://schemas.openxmlformats.org/spreadsheetml/2006/main">
  <c r="X75" i="1" l="1"/>
  <c r="B34" i="1"/>
  <c r="J98" i="1"/>
  <c r="U34" i="1"/>
  <c r="N98" i="1"/>
  <c r="C98" i="1"/>
  <c r="B122" i="1"/>
  <c r="B72" i="1"/>
  <c r="B59" i="1"/>
  <c r="O34" i="1"/>
  <c r="L34" i="1"/>
  <c r="G34" i="1"/>
  <c r="E152" i="1"/>
  <c r="B152" i="1"/>
  <c r="J24" i="1"/>
  <c r="G24" i="1"/>
  <c r="X77" i="1" l="1"/>
  <c r="B36" i="1"/>
  <c r="J100" i="1"/>
  <c r="N4" i="1"/>
  <c r="G25" i="1" s="1"/>
  <c r="N5" i="1"/>
  <c r="O35" i="1" s="1"/>
  <c r="N6" i="1"/>
  <c r="L35" i="1" s="1"/>
  <c r="N7" i="1"/>
  <c r="J25" i="1" s="1"/>
  <c r="N8" i="1"/>
  <c r="B60" i="1" s="1"/>
  <c r="N9" i="1"/>
  <c r="N99" i="1" s="1"/>
  <c r="N10" i="1"/>
  <c r="U35" i="1" s="1"/>
  <c r="N11" i="1"/>
  <c r="C99" i="1" s="1"/>
  <c r="N12" i="1"/>
  <c r="B35" i="1" s="1"/>
  <c r="N13" i="1"/>
  <c r="J99" i="1" s="1"/>
  <c r="N14" i="1"/>
  <c r="B73" i="1" s="1"/>
  <c r="N15" i="1"/>
  <c r="E153" i="1" s="1"/>
  <c r="N16" i="1"/>
  <c r="B153" i="1" s="1"/>
  <c r="N17" i="1"/>
  <c r="B123" i="1" s="1"/>
  <c r="N18" i="1"/>
  <c r="X76" i="1" s="1"/>
  <c r="N3" i="1"/>
  <c r="G35" i="1" s="1"/>
  <c r="B124" i="1" l="1"/>
  <c r="B74" i="1" l="1"/>
  <c r="C100" i="1"/>
  <c r="B61" i="1"/>
  <c r="U36" i="1"/>
  <c r="N100" i="1"/>
  <c r="J26" i="1"/>
  <c r="L36" i="1"/>
  <c r="G26" i="1"/>
  <c r="O36" i="1"/>
  <c r="E154" i="1"/>
  <c r="B154" i="1"/>
  <c r="G36" i="1"/>
</calcChain>
</file>

<file path=xl/connections.xml><?xml version="1.0" encoding="utf-8"?>
<connections xmlns="http://schemas.openxmlformats.org/spreadsheetml/2006/main">
  <connection id="1" name="brand" type="6" refreshedVersion="4" background="1" saveData="1">
    <textPr codePage="437" sourceFile="C:\Users\anobs\Documents\GitHub\MSDS-7330-Term-Paper-1\Explore\brand.csv" comma="1">
      <textFields count="4">
        <textField/>
        <textField/>
        <textField/>
        <textField/>
      </textFields>
    </textPr>
  </connection>
  <connection id="2" name="brand_group" type="6" refreshedVersion="4" background="1" saveData="1">
    <textPr codePage="437" sourceFile="C:\Users\anobs\Documents\GitHub\MSDS-7330-Term-Paper-1\Explore\brand_group.csv" comma="1">
      <textFields count="2">
        <textField/>
        <textField/>
      </textFields>
    </textPr>
  </connection>
  <connection id="3" name="brand_owner" type="6" refreshedVersion="4" background="1" saveData="1">
    <textPr sourceFile="C:\Users\anobs\Documents\GitHub\MSDS-7330-Term-Paper-1\Explore\brand_owner.csv" comma="1">
      <textFields count="4">
        <textField/>
        <textField/>
        <textField/>
        <textField/>
      </textFields>
    </textPr>
  </connection>
  <connection id="4" name="brand_owner_bsin" type="6" refreshedVersion="4" background="1" saveData="1">
    <textPr codePage="437" sourceFile="C:\Users\anobs\Documents\GitHub\MSDS-7330-Term-Paper-1\Explore\brand_owner_bsin.csv" comma="1">
      <textFields count="2">
        <textField/>
        <textField/>
      </textFields>
    </textPr>
  </connection>
  <connection id="5" name="brand_type" type="6" refreshedVersion="4" background="1" saveData="1">
    <textPr codePage="437" sourceFile="C:\Users\anobs\Documents\GitHub\MSDS-7330-Term-Paper-1\Explore\brand_type.csv" comma="1">
      <textFields count="2">
        <textField/>
        <textField/>
      </textFields>
    </textPr>
  </connection>
  <connection id="6" name="gs1_gcp" type="6" refreshedVersion="4" background="1" saveData="1">
    <textPr sourceFile="C:\Users\anobs\Documents\GitHub\MSDS-7330-Term-Paper-1\Explore\gs1_gcp.csv" comma="1">
      <textFields count="23">
        <textField/>
        <textField/>
        <textField/>
        <textField/>
        <textField/>
        <textField/>
        <textField/>
        <textField/>
        <textField/>
        <textField/>
        <textField/>
        <textField/>
        <textField/>
        <textField/>
        <textField/>
        <textField/>
        <textField/>
        <textField/>
        <textField/>
        <textField/>
        <textField/>
        <textField/>
        <textField/>
      </textFields>
    </textPr>
  </connection>
  <connection id="7" name="gs1_gcp_gpc" type="6" refreshedVersion="4" background="1" saveData="1">
    <textPr sourceFile="C:\Users\anobs\Documents\GitHub\MSDS-7330-Term-Paper-1\Explore\gs1_gcp_gpc.csv" comma="1">
      <textFields count="5">
        <textField/>
        <textField/>
        <textField/>
        <textField/>
        <textField/>
      </textFields>
    </textPr>
  </connection>
  <connection id="8" name="gs1_gcp_hier" type="6" refreshedVersion="4" background="1" saveData="1">
    <textPr codePage="437" sourceFile="C:\Users\anobs\Documents\GitHub\MSDS-7330-Term-Paper-1\Explore\gs1_gcp_hier.csv" comma="1">
      <textFields count="4">
        <textField/>
        <textField/>
        <textField/>
        <textField/>
      </textFields>
    </textPr>
  </connection>
  <connection id="9" name="gs1_gcp_nb" type="6" refreshedVersion="4" background="1" saveData="1">
    <textPr codePage="437" sourceFile="C:\Users\anobs\Documents\GitHub\MSDS-7330-Term-Paper-1\Explore\gs1_gcp_nb.csv" comma="1">
      <textFields count="3">
        <textField/>
        <textField/>
        <textField/>
      </textFields>
    </textPr>
  </connection>
  <connection id="10" name="gs1_gcp_rc" type="6" refreshedVersion="4" background="1" saveData="1">
    <textPr codePage="437" sourceFile="C:\Users\anobs\Documents\GitHub\MSDS-7330-Term-Paper-1\Explore\gs1_gcp_rc.csv" comma="1">
      <textFields count="3">
        <textField/>
        <textField/>
        <textField/>
      </textFields>
    </textPr>
  </connection>
  <connection id="11" name="gs1_prefix" type="6" refreshedVersion="4" background="1" saveData="1">
    <textPr codePage="437" sourceFile="C:\Users\anobs\Documents\GitHub\MSDS-7330-Term-Paper-1\Explore\gs1_prefix.csv" comma="1">
      <textFields count="3">
        <textField/>
        <textField/>
        <textField/>
      </textFields>
    </textPr>
  </connection>
  <connection id="12" name="GTIN Tables And Record Counts" type="6" refreshedVersion="4" background="1" saveData="1">
    <textPr codePage="437" sourceFile="C:\Users\anobs\Documents\GitHub\MSDS-7330-Term-Paper-1\Explore\GTIN Tables And Record Counts.csv" comma="1">
      <textFields count="5">
        <textField/>
        <textField/>
        <textField/>
        <textField/>
        <textField/>
      </textFields>
    </textPr>
  </connection>
  <connection id="13" name="label" type="6" refreshedVersion="4" background="1" saveData="1">
    <textPr codePage="437" sourceFile="C:\Users\anobs\Documents\GitHub\MSDS-7330-Term-Paper-1\Explore\label.csv" comma="1">
      <textFields count="3">
        <textField/>
        <textField/>
        <textField/>
      </textFields>
    </textPr>
  </connection>
  <connection id="14" name="label_gtn" type="6" refreshedVersion="4" background="1" saveData="1">
    <textPr codePage="437" sourceFile="C:\Users\anobs\Documents\GitHub\MSDS-7330-Term-Paper-1\Explore\label_gtn.csv" comma="1">
      <textFields count="2">
        <textField/>
        <textField/>
      </textFields>
    </textPr>
  </connection>
  <connection id="15" name="nutrition" type="6" refreshedVersion="4" background="1" saveData="1">
    <textPr codePage="437" sourceFile="C:\Users\anobs\Documents\GitHub\MSDS-7330-Term-Paper-1\Explore\nutrition.csv" comma="1">
      <textFields count="3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 name="pkg_type" type="6" refreshedVersion="4" background="1" saveData="1">
    <textPr codePage="65001" sourceFile="C:\Users\anobs\Documents\GitHub\MSDS-7330-Term-Paper-1\Explore\pkg_type.csv" comma="1">
      <textFields count="3">
        <textField/>
        <textField/>
        <textField/>
      </textFields>
    </textPr>
  </connection>
  <connection id="17" keepAlive="1" name="Query - Table1" description="Connection to the 'Table1' query in the workbook." type="5" refreshedVersion="4" background="1" saveData="1">
    <dbPr connection="provider=Microsoft.Mashup.OleDb.1;data source=$EmbeddedMashup(4cb2a910-e650-4990-ae68-f17b2caf17d0)$;location=Table1;extended properties=UEsDBBQAAgAIAAF2XU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AF2XU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Bdl1J8d1EVREBAABSAgAAEwAcAEZvcm11bGFzL1NlY3Rpb24xLm0gohgAKKAUAAAAAAAAAAAAAAAAAAAAAAAAAAAAtZBPa4NAEMXvgt9h2V4UrBAovYQc7Eao4J9QDT2IBGOnjUR3y7qWFPG7d4y0oanNLXvYhXlv5v12GihUKTiJx3c21zVda3a5hBeS5NsKZmRBKlC6RvDEopUFYMU9FFDZrJUSuHoWcr8VYm+YXRrmNSzo2EmzPmWCK7Rk1jjghrJdzt+G4Z/vQHHS0WonMufNq5A1E1Vb80FsjDHN6jqaOA++u4nZoxs41CIKZaLgoHqLfIuhE7h/JBb56yCc1qKnpRc6/mYVxV7iRSEaPK7u7+whvO/NH+JV+SEUEo9oJ+Zj3bjAf/ZZDJ1MPWEhFwV+u46paRG/bJS9xKvkxdVi0nNjhslT3b9Waepayf9Zz/wLUEsBAi0AFAACAAgAAXZdSVXFQlKqAAAA+gAAABIAAAAAAAAAAAAAAAAAAAAAAENvbmZpZy9QYWNrYWdlLnhtbFBLAQItABQAAgAIAAF2XUkPyumrpAAAAOkAAAATAAAAAAAAAAAAAAAAAPYAAABbQ29udGVudF9UeXBlc10ueG1sUEsBAi0AFAACAAgAAXZdSfHdRFURAQAAUgIAABMAAAAAAAAAAAAAAAAA5wEAAEZvcm11bGFzL1NlY3Rpb24xLm1QSwUGAAAAAAMAAwDCAAAARQMAAAAA" command="SELECT * FROM [Table1]"/>
  </connection>
  <connection id="18" keepAlive="1" name="ThisWorkbookDataModel" description="This connection is used by Excel for communication between the workbook and embedded PowerPivot data, and should not be manually edited or deleted." type="5" refreshedVersion="4">
    <dbPr connection="Provider=MSOLAP.4;Persist Security Info=True;Initial Catalog=Microsoft_SQLServer_AnalysisServices;Data Source=$Embedded$;MDX Compatibility=1;Safety Options=2;MDX Missing Member Mode=Error;Optimize Response=3;Cell Error Mode=TextValue" command="Sandbox" commandType="1"/>
    <olapPr sendLocale="1" rowDrillCount="1000"/>
    <extLst>
      <ext xmlns:x14="http://schemas.microsoft.com/office/spreadsheetml/2009/9/main" uri="{D79990A0-CA42-45e3-83F4-45C500A0EAA5}">
        <x14:connection culture="" embeddedDataId="Microsoft_SQLServer_AnalysisServices"/>
      </ext>
    </extLst>
  </connection>
</connections>
</file>

<file path=xl/sharedStrings.xml><?xml version="1.0" encoding="utf-8"?>
<sst xmlns="http://schemas.openxmlformats.org/spreadsheetml/2006/main" count="879" uniqueCount="401">
  <si>
    <t>LABEL_ID</t>
  </si>
  <si>
    <t>LABEL_NM</t>
  </si>
  <si>
    <t>LABEL_LINK</t>
  </si>
  <si>
    <t>AB Europe</t>
  </si>
  <si>
    <t>http://ec.europa.eu/agriculture/organic/home_en</t>
  </si>
  <si>
    <t>AB France</t>
  </si>
  <si>
    <t>http://www.agencebio.org/</t>
  </si>
  <si>
    <t>Table:</t>
  </si>
  <si>
    <t>GTIN_CD</t>
  </si>
  <si>
    <t>label_gtin</t>
  </si>
  <si>
    <t>label</t>
  </si>
  <si>
    <t>BSIN</t>
  </si>
  <si>
    <t>OWNER_CD</t>
  </si>
  <si>
    <t>9FGTEC</t>
  </si>
  <si>
    <t>HKXVAJ</t>
  </si>
  <si>
    <t>VKDHK2</t>
  </si>
  <si>
    <t>5X7JCT</t>
  </si>
  <si>
    <t>798FK7</t>
  </si>
  <si>
    <t>C7RKR4</t>
  </si>
  <si>
    <t>JQZ4VK</t>
  </si>
  <si>
    <t>35QVME</t>
  </si>
  <si>
    <t>5KBJDB</t>
  </si>
  <si>
    <t>RWQ28Z</t>
  </si>
  <si>
    <t>1U7Q8Q</t>
  </si>
  <si>
    <t>2MPPYB</t>
  </si>
  <si>
    <t>57LD68</t>
  </si>
  <si>
    <t>7M4BEZ</t>
  </si>
  <si>
    <t>9N93G7</t>
  </si>
  <si>
    <t>J6LEDT</t>
  </si>
  <si>
    <t>KSEREZ</t>
  </si>
  <si>
    <t>SSVHJF</t>
  </si>
  <si>
    <t>ZWGQ5N</t>
  </si>
  <si>
    <t>BRAND_NM</t>
  </si>
  <si>
    <t>BRAND_TYPE_CD</t>
  </si>
  <si>
    <t>BRAND_LINK</t>
  </si>
  <si>
    <t>Safeway</t>
  </si>
  <si>
    <t>http://www.safeway.com</t>
  </si>
  <si>
    <t>Primo Taglio</t>
  </si>
  <si>
    <t>Kellogg's</t>
  </si>
  <si>
    <t>http://www.kelloggs.com</t>
  </si>
  <si>
    <t>Lucerne</t>
  </si>
  <si>
    <t>http://www.lucernefoods.com</t>
  </si>
  <si>
    <t>Special K</t>
  </si>
  <si>
    <t>http://www.specialk.fr</t>
  </si>
  <si>
    <t>Billy Boy</t>
  </si>
  <si>
    <t>http://www.billyboy.com</t>
  </si>
  <si>
    <t>Nuk</t>
  </si>
  <si>
    <t>http://www.nuk.com</t>
  </si>
  <si>
    <t>Mom to Mom</t>
  </si>
  <si>
    <t>Great Value</t>
  </si>
  <si>
    <t>http://www.walmart.com</t>
  </si>
  <si>
    <t>Signature cafe</t>
  </si>
  <si>
    <t>Spontex</t>
  </si>
  <si>
    <t>http://www.spontex.fr</t>
  </si>
  <si>
    <t>Member's Mark</t>
  </si>
  <si>
    <t>http://www.samsclub.com</t>
  </si>
  <si>
    <t>Waterfront Bistro</t>
  </si>
  <si>
    <t>Mapa</t>
  </si>
  <si>
    <t>http://www.mapa.fr</t>
  </si>
  <si>
    <t>Priority Total Pet Care</t>
  </si>
  <si>
    <t>Corn Flakes</t>
  </si>
  <si>
    <t>Refreshe</t>
  </si>
  <si>
    <t>Sam's Choice Soda</t>
  </si>
  <si>
    <t>O Organics</t>
  </si>
  <si>
    <t>brand</t>
  </si>
  <si>
    <t>Group</t>
  </si>
  <si>
    <t>Cheese</t>
  </si>
  <si>
    <t>Alcohol</t>
  </si>
  <si>
    <t>DVD BD</t>
  </si>
  <si>
    <t>brand_group</t>
  </si>
  <si>
    <t>OWNER_NM</t>
  </si>
  <si>
    <t>OWNER_LINK</t>
  </si>
  <si>
    <t>OWNER_WIKI_EN</t>
  </si>
  <si>
    <t>Dr Pepper Snapple Group</t>
  </si>
  <si>
    <t>http://www.drpeppersnapplegroup.com</t>
  </si>
  <si>
    <t>http://en.wikipedia.org/wiki/Dr_Pepper_Snapple_Group</t>
  </si>
  <si>
    <t>B&amp;G Foods</t>
  </si>
  <si>
    <t>http://www.bgfoods.com</t>
  </si>
  <si>
    <t>http://en.wikipedia.org/wiki/B%26G_Foods</t>
  </si>
  <si>
    <t>Henkel</t>
  </si>
  <si>
    <t>http://www.henkel.com</t>
  </si>
  <si>
    <t>http://en.wikipedia.org/wiki/Henkel</t>
  </si>
  <si>
    <t>NestlÃ©</t>
  </si>
  <si>
    <t>http://www.nestle.com</t>
  </si>
  <si>
    <t>http://en.wikipedia.org/wiki/NestlÃ©</t>
  </si>
  <si>
    <t>Walmart</t>
  </si>
  <si>
    <t>http://en.wikipedia.org/wiki/Walmart</t>
  </si>
  <si>
    <t>Jarden Corporation</t>
  </si>
  <si>
    <t>http://www.jarden.com</t>
  </si>
  <si>
    <t>http://en.wikipedia.org/wiki/Jarden</t>
  </si>
  <si>
    <t>Kellogg Company</t>
  </si>
  <si>
    <t>http://www.kelloggcompany.com</t>
  </si>
  <si>
    <t>http://en.wikipedia.org/wiki/Kellogg_Company</t>
  </si>
  <si>
    <t>http://en.wikipedia.org/wiki/Safeway_Inc</t>
  </si>
  <si>
    <t>Carlsberg Group</t>
  </si>
  <si>
    <t>http://www.carlsberggroup.com</t>
  </si>
  <si>
    <t>http://en.wikipedia.org/wiki/Carlsberg_Group</t>
  </si>
  <si>
    <t>Grupo AC Marca</t>
  </si>
  <si>
    <t>http://www.grupoacmarca.com</t>
  </si>
  <si>
    <t>brand_owner_bsin</t>
  </si>
  <si>
    <t>TABLE_NAME</t>
  </si>
  <si>
    <t>TABLE_ROWS</t>
  </si>
  <si>
    <t>brand_owner</t>
  </si>
  <si>
    <t>brand_type</t>
  </si>
  <si>
    <t>gs1_gcp</t>
  </si>
  <si>
    <t>gs1_gcp_nb</t>
  </si>
  <si>
    <t>gs1_gcp_rc</t>
  </si>
  <si>
    <t>gs1_gpc</t>
  </si>
  <si>
    <t>gs1_gpc_hier</t>
  </si>
  <si>
    <t>gs1_prefix</t>
  </si>
  <si>
    <t>gtin</t>
  </si>
  <si>
    <t>nutrition_us</t>
  </si>
  <si>
    <t>pkg_type</t>
  </si>
  <si>
    <t>Rows:</t>
  </si>
  <si>
    <t>BRAND_TYPE_NM</t>
  </si>
  <si>
    <t>Manufacturer-brand</t>
  </si>
  <si>
    <t>Retailer-brand</t>
  </si>
  <si>
    <t>GCP_CD</t>
  </si>
  <si>
    <t>GLN_CD</t>
  </si>
  <si>
    <t>GLN_NM</t>
  </si>
  <si>
    <t>GLN_ADDR_02</t>
  </si>
  <si>
    <t>GLN_ADDR_03</t>
  </si>
  <si>
    <t>GLN_ADDR_04</t>
  </si>
  <si>
    <t>GLN_ADDR_POSTALCODE</t>
  </si>
  <si>
    <t>GLN_ADDR_CITY</t>
  </si>
  <si>
    <t>GLN_COUNTRY_ISO_CD</t>
  </si>
  <si>
    <t>CONTACT_NAME</t>
  </si>
  <si>
    <t>CONTACT_TEL</t>
  </si>
  <si>
    <t>CONTACT_HOTLINE</t>
  </si>
  <si>
    <t>CONTACT_FAX</t>
  </si>
  <si>
    <t>CONTACT_MAIL</t>
  </si>
  <si>
    <t>CONTACT_WEB</t>
  </si>
  <si>
    <t>GLN_LAST_CHANGE</t>
  </si>
  <si>
    <t>GLN_PROVIDER</t>
  </si>
  <si>
    <t>SEARCH_GTIN_CD</t>
  </si>
  <si>
    <t>GEPIR_GCP_CD</t>
  </si>
  <si>
    <t>ADD_PARTY_ID</t>
  </si>
  <si>
    <t>RETURN_CODE</t>
  </si>
  <si>
    <t>SOURCE</t>
  </si>
  <si>
    <t>SYNC_DT</t>
  </si>
  <si>
    <t>A. Kellogg Company</t>
  </si>
  <si>
    <t>10428 Product Drive</t>
  </si>
  <si>
    <t>IL</t>
  </si>
  <si>
    <t>Rockford</t>
  </si>
  <si>
    <t>US</t>
  </si>
  <si>
    <t>GEPIR</t>
  </si>
  <si>
    <t>T.S. Kellogg, Inc.</t>
  </si>
  <si>
    <t>P.O. Box 2469</t>
  </si>
  <si>
    <t>61132-0469</t>
  </si>
  <si>
    <t>Canada Safeway Ltd c/o RMS</t>
  </si>
  <si>
    <t>AB</t>
  </si>
  <si>
    <t>T2</t>
  </si>
  <si>
    <t>E 7V8</t>
  </si>
  <si>
    <t>Calgary</t>
  </si>
  <si>
    <t>CA</t>
  </si>
  <si>
    <t>Miller-Kellogg Inc.</t>
  </si>
  <si>
    <t>348 LONG BRANCH ROAD</t>
  </si>
  <si>
    <t>Simi Valley</t>
  </si>
  <si>
    <t>(213) 503-5448</t>
  </si>
  <si>
    <t>(805) 583-4527</t>
  </si>
  <si>
    <t>OOO "Kellogg Rus"</t>
  </si>
  <si>
    <t>g. Voronezh</t>
  </si>
  <si>
    <t>RU</t>
  </si>
  <si>
    <t>Judina Irina Jur'Evna</t>
  </si>
  <si>
    <t>+74956631361 Ð´Ð¾Ð±.361</t>
  </si>
  <si>
    <t>irina.yudina@kellogg.com</t>
  </si>
  <si>
    <t>http://www.lubyatovo.ru</t>
  </si>
  <si>
    <t>KELLOGG COMPANY MEXICO, S. DE R.L.DE C.V. KELLOGG</t>
  </si>
  <si>
    <t>QRO</t>
  </si>
  <si>
    <t>KM. 1 Carr. Campo Militar entronqueKm.</t>
  </si>
  <si>
    <t>Col. San Antonio de la Punta</t>
  </si>
  <si>
    <t>SANTIAGO DE QUERETARO</t>
  </si>
  <si>
    <t>MX</t>
  </si>
  <si>
    <t>www.kellogg.com</t>
  </si>
  <si>
    <t>ALIMENTOS KELLOGG S.A</t>
  </si>
  <si>
    <t>AV. BOLIVAR ESTE NÂº 52</t>
  </si>
  <si>
    <t>MARACAY</t>
  </si>
  <si>
    <t>VE</t>
  </si>
  <si>
    <t>ROSSANA RODRIGUEZ</t>
  </si>
  <si>
    <t>0243-2301758</t>
  </si>
  <si>
    <t>0243-2301734</t>
  </si>
  <si>
    <t>rossana.rodriguez@kellogg.com</t>
  </si>
  <si>
    <t>prefix_cd</t>
  </si>
  <si>
    <t>gcp_length</t>
  </si>
  <si>
    <t>gcp_nb</t>
  </si>
  <si>
    <t>RETURN_NAME</t>
  </si>
  <si>
    <t>ORIGIN</t>
  </si>
  <si>
    <t>No error</t>
  </si>
  <si>
    <t>GS1</t>
  </si>
  <si>
    <t>Missing or invalid parameters</t>
  </si>
  <si>
    <t>No record found</t>
  </si>
  <si>
    <t>No exact match on GLN</t>
  </si>
  <si>
    <t>Too many hits, max. 20 entries are displayed</t>
  </si>
  <si>
    <t>Unknown country code</t>
  </si>
  <si>
    <t>Request timed out</t>
  </si>
  <si>
    <t>No catalogue exists</t>
  </si>
  <si>
    <t>Company information withheld</t>
  </si>
  <si>
    <t>Prefix no longer subscribed</t>
  </si>
  <si>
    <t>Country not on the GEPIR network</t>
  </si>
  <si>
    <t>Illegal Number</t>
  </si>
  <si>
    <t>Daily request limit exceeded</t>
  </si>
  <si>
    <t>Server error</t>
  </si>
  <si>
    <t>Return code 0, no GLN, GLN name = Spain</t>
  </si>
  <si>
    <t>POD</t>
  </si>
  <si>
    <t>Return code 0 but GCP assigned to GS1</t>
  </si>
  <si>
    <t>GPC_LANG</t>
  </si>
  <si>
    <t>GPC_CD</t>
  </si>
  <si>
    <t>GPC_NM</t>
  </si>
  <si>
    <t>GPC_LEVEL</t>
  </si>
  <si>
    <t>EN</t>
  </si>
  <si>
    <t>Pet Care/Food</t>
  </si>
  <si>
    <t>S</t>
  </si>
  <si>
    <t>GPC as at 01-Jun-2012 (GDSN production version)</t>
  </si>
  <si>
    <t>Fruit â€“ Unprepared/Unprocessed (Frozen)</t>
  </si>
  <si>
    <t>B</t>
  </si>
  <si>
    <t>Fruit â€“ Unprepared/Unprocessed (Shelf Stable)</t>
  </si>
  <si>
    <t>Vegetables â€“ Unprepared/Unprocessed (Frozen)</t>
  </si>
  <si>
    <t>Vegetables â€“ Unprepared/Unprocessed (Shelf Stable)</t>
  </si>
  <si>
    <t>Nuts/Seeds â€“ Unprepared/Unprocessed (Perishable)</t>
  </si>
  <si>
    <t>Nuts/Seeds â€“ Unprepared/Unprocessed (Shelf Stable)</t>
  </si>
  <si>
    <t>Fish â€“ Prepared/Processed (Perishable)</t>
  </si>
  <si>
    <t>Fish â€“ Prepared/Processed (Frozen)</t>
  </si>
  <si>
    <t>Fish â€“ Prepared/Processed (Shelf Stable)</t>
  </si>
  <si>
    <t>Shellfish â€“ Unprepared/Unprocessed (Perishable)</t>
  </si>
  <si>
    <t>Shellfish â€“ Unprepared/Unprocessed (Frozen)</t>
  </si>
  <si>
    <t>Shellfish â€“ Unprepared/Unprocessed (Shelf Stable)</t>
  </si>
  <si>
    <t>Milk/Milk Substitutes (Perishable)</t>
  </si>
  <si>
    <t>Milk/Milk Substitutes (Shelf Stable)</t>
  </si>
  <si>
    <t>GPC_S_CD</t>
  </si>
  <si>
    <t>GPC_F_CD</t>
  </si>
  <si>
    <t>GPC_C_CD</t>
  </si>
  <si>
    <t>GPC_B_CD</t>
  </si>
  <si>
    <t>PREFIX_CD</t>
  </si>
  <si>
    <t>PREFIX_NM</t>
  </si>
  <si>
    <t>COUNTRY_ISO_CD</t>
  </si>
  <si>
    <t>GTIN_LEVEL_CD</t>
  </si>
  <si>
    <t>GTIN_NM</t>
  </si>
  <si>
    <t>PRODUCT_LINE</t>
  </si>
  <si>
    <t>M_G</t>
  </si>
  <si>
    <t>M_OZ</t>
  </si>
  <si>
    <t>M_ML</t>
  </si>
  <si>
    <t>M_FLOZ</t>
  </si>
  <si>
    <t>M_ABV</t>
  </si>
  <si>
    <t>M_ABW</t>
  </si>
  <si>
    <t>PKG_UNIT</t>
  </si>
  <si>
    <t>PKG_TYPE_CD</t>
  </si>
  <si>
    <t>REF_CD</t>
  </si>
  <si>
    <t>IMG</t>
  </si>
  <si>
    <t>NULL</t>
  </si>
  <si>
    <t>TABLE_SCHEMA</t>
  </si>
  <si>
    <t>gtin_13</t>
  </si>
  <si>
    <t>pkg_type_cd</t>
  </si>
  <si>
    <t>Key1</t>
  </si>
  <si>
    <t>Key2</t>
  </si>
  <si>
    <t>Tables Keys</t>
  </si>
  <si>
    <t>Table Rowcounts</t>
  </si>
  <si>
    <t>R1TS5M</t>
  </si>
  <si>
    <t>12 Grain</t>
  </si>
  <si>
    <t>Sliced Breads - Whole Grains</t>
  </si>
  <si>
    <t>arnoldbread.com</t>
  </si>
  <si>
    <t>7 Grain</t>
  </si>
  <si>
    <t>White</t>
  </si>
  <si>
    <t>Sliced Breads - Country</t>
  </si>
  <si>
    <t>Sourdough</t>
  </si>
  <si>
    <t>Oatmeal</t>
  </si>
  <si>
    <t>Brick Oven Premium White</t>
  </si>
  <si>
    <t>Sliced Breads - Specialty</t>
  </si>
  <si>
    <t>Bakery Light 100% Whole Wheat</t>
  </si>
  <si>
    <t>Sliced Breads - Light Bread</t>
  </si>
  <si>
    <t>Nutty Almond</t>
  </si>
  <si>
    <t>100% Whole Wheat</t>
  </si>
  <si>
    <t xml:space="preserve">Sliced Breads - Country </t>
  </si>
  <si>
    <t>Honey Whole Wheat</t>
  </si>
  <si>
    <t>Oat Bran</t>
  </si>
  <si>
    <t>Oatnut</t>
  </si>
  <si>
    <t>Health Nut</t>
  </si>
  <si>
    <t>Double Protein</t>
  </si>
  <si>
    <t>Healthy Multi-Grain</t>
  </si>
  <si>
    <t>Stone Ground 100% Whole Wheat</t>
  </si>
  <si>
    <t>Whole Grain White</t>
  </si>
  <si>
    <t>Sliced Breads - Soft Family</t>
  </si>
  <si>
    <t>Honey Wheat</t>
  </si>
  <si>
    <t>Soft Family Bread</t>
  </si>
  <si>
    <t>INGREDIENTS</t>
  </si>
  <si>
    <t>SERV_SIZE_G</t>
  </si>
  <si>
    <t>SERV_SIZE_ML</t>
  </si>
  <si>
    <t>SERV_CT</t>
  </si>
  <si>
    <t>CAL</t>
  </si>
  <si>
    <t>CAL_FROM_FAT</t>
  </si>
  <si>
    <t>TOT_FAT_G</t>
  </si>
  <si>
    <t>TOT_FAT_DV</t>
  </si>
  <si>
    <t>SAT_FAT_G</t>
  </si>
  <si>
    <t>SAT_FAT_DV</t>
  </si>
  <si>
    <t>TRANS_FAT_G</t>
  </si>
  <si>
    <t>CHOL_MG</t>
  </si>
  <si>
    <t>CHOL_DV</t>
  </si>
  <si>
    <t>SOD_MG</t>
  </si>
  <si>
    <t>SOD_DV</t>
  </si>
  <si>
    <t>POT_MG</t>
  </si>
  <si>
    <t>POT_DV</t>
  </si>
  <si>
    <t>TOT_CARB_G</t>
  </si>
  <si>
    <t>TOT_CARB_DV</t>
  </si>
  <si>
    <t>DIET_FIBER_G</t>
  </si>
  <si>
    <t>DIET_FIBER_DV</t>
  </si>
  <si>
    <t>SUGARS_G</t>
  </si>
  <si>
    <t>PROTEIN_G</t>
  </si>
  <si>
    <t>VITAMIN_A</t>
  </si>
  <si>
    <t>VITAMIN_C</t>
  </si>
  <si>
    <t>CALCIUM</t>
  </si>
  <si>
    <t>IRON</t>
  </si>
  <si>
    <t>WHOLE WHEAT FLOUR, UNBLEACHED ENRICHED WHEAT FLOUR [FLOUR, MALTED BARLEY FLOUR, REDUCED IRON, NIACIN, THIAMIN MONONITRATE (VITAMIN B1), RIBOFLAVIN (VITAMIN B2), FOLIC ACID], WATER, SUGAR, SUNFLOWER SEEDS, WHEAT GLUTEN, WHEAT, RYE, CELLULOSE FIBER, OATS, YEAST, SOYBEAN OIL, GROUND CORN, SALT, MOLASSES, BUCKWHEAT, BROWN RICE, CALCIUM PROPIONATE (PRESERVATIVE), MONOGLYCERIDES, TRITICALE, BARLEY, FLAXSEED, MILLET, CALCIUM SULFATE, DATEM, GRAIN VINEGAR, CALCIUM CARBONATE, CITRIC ACID, SOY LECITHIN, NUTS [WALNUTS AND/OR HAZELNUTS (FILBERTS) AND/OR ALMONDS], WHEY, SOY FLOUR, NONFAT MILK</t>
  </si>
  <si>
    <t>http://www.arnoldbread.com/products/sliced-breads/whole-grains/12-grain</t>
  </si>
  <si>
    <t>WHOLE WHEAT FLOUR , UNBLEACHED ENRICHED WHEAT FLOUR [FLOUR, MALTED BARLEY FLOUR, REDUCED IRON, NIACIN, THIAMIN MONONITRATE (VITAMIN B1), RIBOFLAVIN (VITAMIN B2), FOLIC ACID], WATER, SUGAR, MOLASSES, YEAST, WHEAT, CELLULOSE FIBER, WHEAT GLUTEN, RYE, SOYBEAN OIL, GROUND CORN, SALT, BROWN RICE, OATS, CALCIUM PROPIONATE (PRESERVATIVE), MONOGLYCERIDES, DATEM, GRAIN VINEGAR, TRITICALE, CALCIUM SULFATE, BARLEY, FLAXSEED, MILLET, CITRIC ACID, SOY LECITHIN, CALCIUM CARBONATE, NUTS [WALNUTS AND/OR HAZELNUTS (FILBERTS) AND/OR ALMONDS] , WHEY, SOY FLOUR, NONFAT MILK</t>
  </si>
  <si>
    <t>http://www.arnoldbread.com/products/sliced-breads/whole-grains/7-grain</t>
  </si>
  <si>
    <t>UNBLEACHED ENRICHED WHEAT FLOUR [FLOUR, MALTED BARLEY FLOUR, REDUCED IRON, NIACIN, THIAMIN MONONITRATE, (VITAMIN B1), RIBOFLAVIN (VITAMIN B2), FOLIC ACID], WATER, SUGAR, YEAST, SOYBEAN OIL, SALT, MONOGLYCERIDES, CALCIUM PROPIONATE (PRESERVATIVE), CALCIUM SULFATE, GRAIN VINEGAR, CITRIC ACID, SOY LECITHIN, DATEM, WHEAT GLUTEN, WHEY, SOY FLOUR, NONFAT MILK</t>
  </si>
  <si>
    <t>http://www.arnoldbread.com/products/sliced-breads/country/white</t>
  </si>
  <si>
    <t>UNBLEACHED ENRICHED WHEAT FLOUR [FLOUR, MALTED BARLEY FLOUR, REDUCED IRON, NIACIN, THIAMIN MONONITRATE (VITAMIN B1), RIBOFLAVIN (VITAMIN B2), FOLIC ACID], WATER, YEAST, DEHYDRATED SOURDOUGH, SOYBEAN OIL, SALT, SUGAR, WHEAT GLUTEN, MONOGLYCERIDES, GRAIN VINEGAR, CALCIUM PROPIONATE (PRESERVATIVE), CALCIUM SULFATE, SOY LECITHIN, CITRIC ACID, DATEM AND/OR SODIUM STEAROYL LACTYLATE, WHEY, SOY FLOUR, NONFAT MILK.</t>
  </si>
  <si>
    <t>http://www.arnoldbread.com/products/sliced-breads/country/sourdough-0</t>
  </si>
  <si>
    <t>UNBLEACHED ENRICHED WHEAT FLOUR [FLOUR, MALTED BARLEY FLOUR, REDUCED IRON, NIACIN, THIAMIN MONONITRATE (VITAMIN B1), RIBOFLAVIN (VITAMIN B2), FOLIC ACID], WATER, OATS, SUGAR, WHEAT GLUTEN, YEAST, SOYBEAN OIL, SALT, CALCIUM PROPIONATE (PRESERVATIVE), MONOGLYCERIDES, DATEM AND/OR SODIUM STEAROYL LACTYLATE, GRAIN VINEGAR, CALCIUM SULFATE, CITRIC ACID, CALCIUM CARBONATE, SOY LECITHIN, WHEY, SOY FLOUR, NONFAT MILK.</t>
  </si>
  <si>
    <t>http://www.arnoldbread.com/products/sliced-breads/country/oatmeal-0</t>
  </si>
  <si>
    <t>UNBLEACHED ENRICHED WHEAT FLOUR [FLOUR, MALTED BARLEY FLOUR, REDUCED IRON, NIACIN, THIAMIN MONONITRATE (VITAMIN B1), RIBOFLAVIN (VITAMIN B2), FOLIC ACID], WATER, SUGAR, YEAST, SOYBEAN OIL, SALT, MONOGLYCERIDES, WHEAT GLUTEN, CALCIUM PROPIONATE (PRESERVATIVE), CALCIUM SULFATE, DATEM, NATURAL FLAVOR, SOY LECITHIN, AZODICARBONAMIDE.</t>
  </si>
  <si>
    <t>http://www.arnoldbread.com/products/sliced-breads/specialty/brick-oven-premium-white</t>
  </si>
  <si>
    <t>WHOLE WHEAT FLOUR, WATER, CELLULOSE FIBER, WHEAT GLUTEN, YEAST, SUGAR, SALT, WHEAT BRAN, MOLASSES, MONO- AND DIGLYCERIDES, CALCIUM PROPIONATE (PRESERVATIVE), DATEM, GRAIN VINEGAR, NATURAL &amp; ARTIFICIAL FLAVOR, CALCIUM SULFATE, MONOCALCIUM PHOSPHATE, ETHOXYLATED MONO- AND DIGLYCERIDES, SOY LECITHIN, SUCRALOSE, AZODICARBONAMIDE, SOY FLOUR.</t>
  </si>
  <si>
    <t>http://www.arnoldbread.com/products/sliced-breads/light-bread/bakery-light-100-whole-wheat</t>
  </si>
  <si>
    <t>WHOLE WHEAT FLOUR, WATER, UNBLEACHED ENRICHED WHEAT FLOUR [FLOUR, MALTED BARLEY FLOUR, REDUCED IRON, NIACIN, THIAMIN MONONITRATE (VITAMIN B1), RIBOFLAVIN (VITAMIN B2), FOLIC ACID], SUGAR, FLAXSEED, BULGUR WHEAT, WHEAT GLUTEN, YEAST, ALMONDS (NUTS), MOLASSES, HAZELNUTS (FILBERTS), SOYBEAN OIL, SALT, SESAME SEEDS, CALCIUM PROPIONATE (PRESERVATIVE), MONO- AND DIGLYCERIDES, DATEM AND/OR SODIUM STEAROYL LACTYLATE, GRAIN VINEGAR, CALCIUM SULFATE, CARAMEL COLOR, NATURAL BLACK WALNUT FLAVOR, SOY LECITHIN, CITRIC ACID, WHEY, SOY FLOUR, NONFAT MILK</t>
  </si>
  <si>
    <t>http://www.arnoldbread.com/products/sliced-breads/whole-grains/nutty-almond</t>
  </si>
  <si>
    <t>WHOLE WHEAT FLOUR , UNBLEACHED ENRICHED WHEAT FLOUR [FLOUR, MALTED BARLEY FLOUR, REDUCED IRON, NIACIN, THIAMIN MONONITRATE (VITAMIN B1), RIBOFLAVIN (VITAMIN B2), FOLIC ACID], WATER, WHEAT GLUTEN, WHEAT FIBER, YEAST, INULIN (CHICKORY ROOT FIBER), CELLULOSE FIBER, SUGAR, SUNFLOWER SEEDS, WHEAT, POLYDEXTROSE, RYE, MOLASSES, SALT, WHEAT PROTEIN ISOLATE, GROUND CORN, CULTURED DEXTROSE AND MALTODEXTRIN, RAISIN JUICE CONCENTRATE, BUCKWHEAT, DATEM, MONOGLYCERIDES, BROWN RICE, OATS, TRITICALE, CITRIC ACID, BARLEY, FLAXSEED, MILLET, STEVIA EXTRACT (A NATURAL SWEETENER), CALCIUM SULFATE, GRAIN VINEGAR, ETHOXYLATED MONO- AND DIGLYCERIDES, SOY LECITHIN, CALCIUM CARBONATE, NUTS (WALNUTS AND/OR HAZELNUTS AND/OR ALMONDS) , RICE PROTEIN, WHEY, SOY FLOUR, NONFAT MILK.</t>
  </si>
  <si>
    <t>http://www.arnoldbread.com/products/sliced-breads/country/100-whole-wheat</t>
  </si>
  <si>
    <t>WHOLE WHEAT FLOUR, WATER, HONEY, SUGAR, WHEAT GLUTEN, YEAST, WHEAT BRAN, SOYBEAN OIL, SALT, MONOGLYCERIDES, CALCIUM PROPIONATE (PRESERVATIVE), DATEM, CALCIUM SULFATE, GRAIN VINEGAR, CITRIC ACID, SOY LECITHIN, CALCIUM CARBONATE, WHEY, NONFAT MILK</t>
  </si>
  <si>
    <t>http://www.arnoldbread.com/products/sliced-breads/country/honey-whole-wheat</t>
  </si>
  <si>
    <t>UNBLEACHED ENRICHED WHEAT FLOUR [FLOUR, MALTED BARLEY FLOUR, REDUCED IRON, NIACIN, THIAMIN MONONITRATE (VITAMIN B1), RIBOFLAVIN (VITAMIN B2), FOLIC ACID], WATER, SUGAR, OAT BRAN, OATS, WHEAT GLUTEN, SOYBEAN OIL, YEAST, SALT, MOLASSES, MONOGLYCERIDES, CALCIUM PROPIONATE (PRESERVATIVE), CALCIUM CARBONATE, NATURAL FLAVOR, CALCIUM SULFATE, DATEM, GRAIN VINEGAR, CITRIC ACID, SOY LECITHIN, NUTS [WALNUTS AND/OR HAZELNUTS (FILBERTS) AND/OR ALMONDS], WHEY, SOY FLOUR, NONFAT MILK</t>
  </si>
  <si>
    <t>http://www.arnoldbread.com/products/sliced-breads/country/oat-bran</t>
  </si>
  <si>
    <t>WHOLE WHITE WHEAT FLOUR, UNBLEACHED ENRICHED WHEAT FLOUR [FLOUR, MALTED BARLEY FLOUR, REDUCED IRON, NIACIN, THIAMIN MONONITRATE (VITAMIN B1), RIBOFLAVIN (VITAMIN B2), FOLIC ACID], WATER, SUGAR, OATS, YEAST, WHEAT GLUTEN, HAZELNUTS (FILBERTS), SOYBEAN OIL, SALT, SUNFLOWER SEEDS, CALCIUM PROPIONATE (PRESERVATIVE), MONOGLYCERIDES, DATEM, CALCIUM SULFATE, GRAIN VINEGAR, CITRIC ACID, SOY LECITHIN, CALCIUM CARBONATE, NUTS [WALNUTS AND/OR ALMONDS], WHEY, SOY FLOUR, NONFAT MILK</t>
  </si>
  <si>
    <t>http://www.arnoldbread.com/products/sliced-breads/whole-grains/oatnut%C2%AE</t>
  </si>
  <si>
    <t>WHOLE WHEAT FLOUR, UNBLEACHED ENRICHED WHEAT FLOUR [FLOUR, MALTED BARLEY FLOUR, REDUCED IRON, NIACIN, THIAMIN MONONITRATE (VITAMIN B1), RIBOFLAVIN (VITAMIN B2), FOLIC ACID], WATER, SUGAR, RYE, WHEAT GLUTEN, YEAST, SUNFLOWER SEEDS, GROUND CORN, NUTS (ALMONDS AND/OR WALNUTS) , MOLASSES, SOYBEAN OIL, SALT, WHOLE WHITE WHEAT, BROWN RICE, OATS, TRITICALE, MONOGLYCERIDES, BARLEY, FLAXSEED, MILLET, CALCIUM PROPIONATE (PRESERVATIVE), CALCIUM SULFATE, DATEM, GRAIN VINEGAR, CITRIC ACID, SOY LECITHIN, HAZELNUTS (FILBERTS), WHEY, SOY FLOUR, NONFAT MILK</t>
  </si>
  <si>
    <t>http://www.arnoldbread.com/products/sliced-breads/whole-grains/health-nut%C2%AE</t>
  </si>
  <si>
    <t>WHOLE WHEAT FLOUR, WATER, SUGAR, WHEAT GLUTEN, WHEAT PROTEIN ISOLATE, OATS, YEAST, CRACKED WHEAT, INULIN (CHICKORY ROOT FIBER), SOYBEAN OIL, SUNFLOWER SEEDS, RICE PROTEIN, SALT, BARLEY FLAKES, TRITICALE, WHEAT FLAKES, RAISIN JUICE CONCENTRATE, GRAIN VINEGAR, RYE, AMARANTH, FLAXSEED, MONOGLYCERIDES, WHEAT GERM, CORNMEAL, CALCIUM PROPIONATE (PRESERVATIVE), DATEM, CALCIUM SULFATE, CITRIC ACID, SOY LECITHIN, CALCIUM CARBONATE, WHEY, NONFAT MILK</t>
  </si>
  <si>
    <t>http://www.arnoldbread.com/products/sliced-breads/whole-grains/double-protein</t>
  </si>
  <si>
    <t>WHOLE WHEAT FLOUR, WATER, SUGAR, WHEAT GLUTEN, YEAST, RAISIN JUICE CONCENTRATE, WHEAT BRAN, MOLASSES, SOYBEAN OIL, SALT, MONOGLYCERIDES, CALCIUM PROPIONATE (PRESERVATIVE), CALCIUM SULFATE, DATEM, GRAIN VINEGAR, CITRIC ACID, SOY LECITHIN, WHEY, NONFAT MILK</t>
  </si>
  <si>
    <t>http://www.arnoldbread.com/products/sliced-breads/whole-grains/100-whole-wheat</t>
  </si>
  <si>
    <t>WHOLE WHEAT FLOUR, WATER, SUGAR, WHEAT GLUTEN, BROWN RICE, CORNMEAL, OATS, WHEAT BRAN, YEAST, CELLULOSE FIBER, SOYBEAN OIL, BLACK &amp; WHITE SESAME SEEDS, SALT, MOLASSES, DATEM, CALCIUM PROPIONATE (PRESERVATIVE), MONOGLYCERIDES, CALCIUM SULFATE, POPPY SEEDS, GRAIN VINEGAR, SOY LECITHIN, CITRIC ACID, CALCIUM CARBONATE, NUTS [WALNUTS AND/OR HAZELNUTS (FILBERTS) AND/OR ALMONDS], WHEY, NONFAT MILK</t>
  </si>
  <si>
    <t>http://www.arnoldbread.com/products/sliced-breads/whole-grains/healthy-multi-grain</t>
  </si>
  <si>
    <t>STONEGROUND WHOLE WHEAT FLOUR, WATER, WHEAT GLUTEN, SUGAR, YEAST, SOYBEAN OIL, CRACKED WHEAT, SALT, MOLASSES, MONO- AND DIGLYCERIDES, CALCIUM PROPIONATE (PRESERVATIVE), CALCIUM SULFATE, ETHOXYLATED MONO- AND DIGLYCERIDES, SOY LECITHIN, AZODICARBONAMIDE.</t>
  </si>
  <si>
    <t>http://www.arnoldbread.com/products/sliced-breads/specialty/stone-ground-100-whole-wheat</t>
  </si>
  <si>
    <t>UNBLEACHED ENRICHED WHEAT FLOUR [FLOUR, MALTED BARLEY FLOUR, REDUCED IRON, NIACIN, THIAMIN MONONITRATE (VITAMIN B1), RIBOFLAVIN (VITAMIN B2), FOLIC ACID], WATER, WHOLE WHITE WHEAT FLOUR, SUGAR, YEAST, WHEAT GLUTEN, SOYBEAN OIL, SALT, CULTURED WHEAT STARCH, ENRICHMENT (CALCIUM SULFATE, VITAMIN E ACETATE, VITAMIN A PALMITATE, VITAMIN D3), MONO- AND DIGLYCERIDES, DATEM, CITRIC ACID, GRAIN VINEGAR, MONOCALCIUM PHOSPHATE, SOY LECITHIN.</t>
  </si>
  <si>
    <t>http://www.arnoldbread.com/products/sliced-breads/soft-familyreg/whole-grain-white</t>
  </si>
  <si>
    <t>UNBLEACHED ENRICHED WHEAT FLOUR [FLOUR, MALTED BARLEY FLOUR, REDUCED IRON, NIACIN, THIAMIN MONONITRATE (VITAMIN B1), RIBOFLAVIN (VITAMIN B2), FOLIC ACID], WATER, WHOLE WHEAT FLOUR, YEAST, HONEY, SUGAR, WHEAT GLUTEN, SOYBEAN OIL, SALT, CULTURED WHEAT STARCH, ENRICHMENT (CALCIUM SULFATE, VITAMIN E ACETATE, VITAMIN A PALMITATE, VITAMIN D3), MONO- AND DIGLYCERIDES, DATEM, CITRIC ACID, GRAIN VINEGAR, MONOCALCIUM PHOSPHATE, SOY LECITHIN.</t>
  </si>
  <si>
    <t>http://www.arnoldbread.com/products/sliced-breads/soft-familyreg/honey-wheat</t>
  </si>
  <si>
    <t>WHOLE WHEAT FLOUR, WATER, SUGAR, YEAST, WHEAT GLUTEN, SOYBEAN OIL, SALT, CULTURED WHEAT STARCH, RAISIN JUICE CONCENTRATE, ENRICHMENT (CALCIUM SULFATE, VITAMIN E ACETATE, VITAMIN A PALMITATE, VITAMIN D3), MONO- AND DIGLYCERIDES, DATEM, GRAIN VINEGAR, CITRIC ACID, MONOCALCIUM PHOSPHATE, SOY LECITHIN.</t>
  </si>
  <si>
    <t>http://www.arnoldbread.com/products/sliced-breads/soft-familyreg/100-whole-wheat</t>
  </si>
  <si>
    <t>D</t>
  </si>
  <si>
    <t>F</t>
  </si>
  <si>
    <t>E</t>
  </si>
  <si>
    <t>A</t>
  </si>
  <si>
    <t>C</t>
  </si>
  <si>
    <t>pkg_type_nm</t>
  </si>
  <si>
    <t>pkg_type_desc</t>
  </si>
  <si>
    <t>Bouteille Plastique - PET</t>
  </si>
  <si>
    <t>Polyéthylène téréphtalate (PETE ou PET)</t>
  </si>
  <si>
    <t>Bouteille Plastique - HDPE</t>
  </si>
  <si>
    <t>Polytéthylène haute densité (HDPE ou PEHD)</t>
  </si>
  <si>
    <t>Bouteille Plastique - PVC</t>
  </si>
  <si>
    <t>Polychlorure de vinyle (PVC ou V)</t>
  </si>
  <si>
    <t>Bouteille Plastique - LDPE</t>
  </si>
  <si>
    <t>Polyéthylène faible densité (LDPE ou PEBD)</t>
  </si>
  <si>
    <t>Bouteille Plastique - PP</t>
  </si>
  <si>
    <t>Polypropylène</t>
  </si>
  <si>
    <t>Bouteille Plastique - PS</t>
  </si>
  <si>
    <t>Polystyrène expansé</t>
  </si>
  <si>
    <t>Bouteille Plastique - Autre</t>
  </si>
  <si>
    <t>Autres plastiques que ceux nommés de 1 à 6</t>
  </si>
  <si>
    <t>Bouteille Plastique - Inconnu</t>
  </si>
  <si>
    <t>Plastique non connu</t>
  </si>
  <si>
    <t>Bouteille en verre</t>
  </si>
  <si>
    <t>Boîte métallique - Canette</t>
  </si>
  <si>
    <t>Boîte mettalique - Autre</t>
  </si>
  <si>
    <t xml:space="preserve">Bidon métal </t>
  </si>
  <si>
    <t>Pot en verre</t>
  </si>
  <si>
    <t>DoyPack</t>
  </si>
  <si>
    <t>Outre</t>
  </si>
  <si>
    <t>Boîte carton</t>
  </si>
  <si>
    <t>Seau</t>
  </si>
  <si>
    <t>Both</t>
  </si>
  <si>
    <t>Keys</t>
  </si>
  <si>
    <t>Orphan, no other tables with this keyfield</t>
  </si>
  <si>
    <t>contains all items identified by GTIN-13 code</t>
  </si>
  <si>
    <t>listing all GCP and the corresponding GLN</t>
  </si>
  <si>
    <t>listing all return codes of the GEPIR and those created by POD for data quality matters</t>
  </si>
  <si>
    <t>contains all label of GPC classification codes in several langages</t>
  </si>
  <si>
    <t>contains the hierarchy between segment, family, class and brick of the GPC classification</t>
  </si>
  <si>
    <t>List of 3 first possible digits with the corresponding GS1 registration office and country</t>
  </si>
  <si>
    <t>List of brands</t>
  </si>
  <si>
    <t>List of Brand owners</t>
  </si>
  <si>
    <t>Codification table for the brand type</t>
  </si>
  <si>
    <t>distinguish concepts of shape (bottle, can, jar,…) and material (glass, plastic,…)</t>
  </si>
  <si>
    <t>contains elements of the U.S. Nutrition Facts Label required by FDA</t>
  </si>
  <si>
    <t>Description</t>
  </si>
  <si>
    <t xml:space="preserve"> </t>
  </si>
  <si>
    <t>GS1 Italy  </t>
  </si>
  <si>
    <t>IT</t>
  </si>
  <si>
    <t>defines length of GTIN code, varies by country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</si>
</sst>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_(* #,##0_);_(* \(#,##0\);_(* &quot;-&quot;??_);_(@_)"/>
  </numFmts>
  <fonts count="3" x14ac:knownFonts="1">
    <font>
      <sz val="11"/>
      <color theme="1"/>
      <name val="Calibri"/>
      <family val="2"/>
      <scheme val="minor"/>
    </font>
    <font>
      <sz val="11"/>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rgb="FF92D05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43" fontId="1" fillId="0" borderId="0" applyFont="0" applyFill="0" applyBorder="0" applyAlignment="0" applyProtection="0"/>
  </cellStyleXfs>
  <cellXfs count="34">
    <xf numFmtId="0" fontId="0" fillId="0" borderId="0" xfId="0"/>
    <xf numFmtId="0" fontId="0" fillId="0" borderId="1" xfId="0" applyBorder="1"/>
    <xf numFmtId="1" fontId="0" fillId="0" borderId="1" xfId="0" applyNumberFormat="1" applyBorder="1"/>
    <xf numFmtId="0" fontId="0" fillId="2" borderId="1" xfId="0" applyFill="1" applyBorder="1"/>
    <xf numFmtId="0" fontId="0" fillId="0" borderId="0" xfId="0" applyBorder="1"/>
    <xf numFmtId="0" fontId="0" fillId="3" borderId="1" xfId="0" applyFill="1" applyBorder="1"/>
    <xf numFmtId="0" fontId="0" fillId="0" borderId="0" xfId="0" applyAlignment="1">
      <alignment horizontal="left"/>
    </xf>
    <xf numFmtId="0" fontId="0" fillId="0" borderId="0" xfId="0" applyAlignment="1">
      <alignment vertical="center" wrapText="1"/>
    </xf>
    <xf numFmtId="14" fontId="0" fillId="0" borderId="1" xfId="0" applyNumberFormat="1" applyBorder="1"/>
    <xf numFmtId="0" fontId="0" fillId="0" borderId="1" xfId="0" applyBorder="1" applyAlignment="1">
      <alignment vertical="center" wrapText="1"/>
    </xf>
    <xf numFmtId="0" fontId="0" fillId="2" borderId="1" xfId="0" applyFill="1" applyBorder="1" applyAlignment="1">
      <alignment vertical="center" wrapText="1"/>
    </xf>
    <xf numFmtId="0" fontId="0" fillId="0" borderId="1" xfId="0" applyBorder="1" applyAlignment="1">
      <alignment horizontal="center"/>
    </xf>
    <xf numFmtId="0" fontId="0" fillId="0" borderId="0" xfId="0" applyNumberFormat="1"/>
    <xf numFmtId="0" fontId="0" fillId="0" borderId="0" xfId="0" applyFill="1" applyBorder="1"/>
    <xf numFmtId="0" fontId="0" fillId="0" borderId="1" xfId="0" applyNumberFormat="1" applyBorder="1" applyAlignment="1"/>
    <xf numFmtId="0" fontId="0" fillId="0" borderId="1" xfId="0" quotePrefix="1" applyNumberFormat="1" applyBorder="1" applyAlignment="1"/>
    <xf numFmtId="0" fontId="0" fillId="2" borderId="1" xfId="0" applyNumberFormat="1" applyFill="1" applyBorder="1" applyAlignment="1"/>
    <xf numFmtId="0" fontId="0" fillId="2" borderId="1" xfId="0" quotePrefix="1" applyNumberFormat="1" applyFill="1" applyBorder="1" applyAlignment="1"/>
    <xf numFmtId="0" fontId="0" fillId="0" borderId="0" xfId="0" applyBorder="1" applyAlignment="1">
      <alignment vertical="center" wrapText="1"/>
    </xf>
    <xf numFmtId="0" fontId="0" fillId="2" borderId="2" xfId="0" applyNumberFormat="1" applyFill="1" applyBorder="1" applyAlignment="1"/>
    <xf numFmtId="0" fontId="2" fillId="0" borderId="1" xfId="0" applyFont="1" applyBorder="1"/>
    <xf numFmtId="164" fontId="0" fillId="0" borderId="1" xfId="1" applyNumberFormat="1" applyFont="1" applyBorder="1" applyAlignment="1">
      <alignment horizontal="left"/>
    </xf>
    <xf numFmtId="0" fontId="0" fillId="0" borderId="1" xfId="0" applyBorder="1" applyAlignment="1">
      <alignment horizontal="left"/>
    </xf>
    <xf numFmtId="0" fontId="0" fillId="2" borderId="3" xfId="0" applyFill="1" applyBorder="1"/>
    <xf numFmtId="0" fontId="2" fillId="2" borderId="1" xfId="0" applyFont="1" applyFill="1" applyBorder="1"/>
    <xf numFmtId="0" fontId="2" fillId="2" borderId="1" xfId="0" applyFont="1" applyFill="1" applyBorder="1" applyAlignment="1">
      <alignment vertical="center" wrapText="1"/>
    </xf>
    <xf numFmtId="0" fontId="0" fillId="0" borderId="4" xfId="0" applyBorder="1"/>
    <xf numFmtId="0" fontId="0" fillId="0" borderId="5" xfId="0" applyBorder="1"/>
    <xf numFmtId="0" fontId="0" fillId="0" borderId="3" xfId="0" applyBorder="1"/>
    <xf numFmtId="0" fontId="0" fillId="0" borderId="1" xfId="0" applyFont="1" applyBorder="1"/>
    <xf numFmtId="0" fontId="0" fillId="0" borderId="1" xfId="0" applyBorder="1" applyAlignment="1">
      <alignment wrapText="1"/>
    </xf>
    <xf numFmtId="0" fontId="0" fillId="0" borderId="1" xfId="0" applyFont="1" applyBorder="1" applyAlignment="1">
      <alignment wrapText="1"/>
    </xf>
    <xf numFmtId="0" fontId="0" fillId="0" borderId="0" xfId="0" applyAlignment="1">
      <alignment wrapText="1"/>
    </xf>
    <xf numFmtId="0" fontId="0" fillId="0" borderId="0" xfId="0" applyBorder="1" applyAlignment="1">
      <alignment wrapText="1"/>
    </xf>
  </cellXfs>
  <cellStyles count="2">
    <cellStyle name="Comma" xfId="1" builtinId="3"/>
    <cellStyle name="Normal" xfId="0" builtinId="0"/>
  </cellStyles>
  <dxfs count="8">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
      <font>
        <b/>
        <i val="0"/>
      </font>
      <fill>
        <patternFill>
          <bgColor rgb="FFD7D7D7"/>
        </patternFill>
      </fill>
    </dxf>
    <dxf>
      <font>
        <b val="0"/>
        <i val="0"/>
      </font>
      <fill>
        <patternFill patternType="none">
          <bgColor indexed="65"/>
        </patternFill>
      </fill>
    </dxf>
  </dxfs>
  <tableStyles count="3" defaultTableStyle="TableStyleMedium2" defaultPivotStyle="PivotStyleLight16">
    <tableStyle name="MySqlDefault" pivot="0" table="0" count="2">
      <tableStyleElement type="wholeTable" dxfId="7"/>
      <tableStyleElement type="headerRow" dxfId="6"/>
    </tableStyle>
    <tableStyle name="TableStyleQueryPreview" pivot="0" count="3">
      <tableStyleElement type="wholeTable" dxfId="5"/>
      <tableStyleElement type="headerRow" dxfId="4"/>
      <tableStyleElement type="firstRowStripe" dxfId="3"/>
    </tableStyle>
    <tableStyle name="TableStyleQueryResult" pivot="0" count="3">
      <tableStyleElement type="wholeTable" dxfId="2"/>
      <tableStyleElement type="headerRow" dxfId="1"/>
      <tableStyleElement type="firstRow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18" Type="http://schemas.openxmlformats.org/officeDocument/2006/relationships/customXml" Target="../customXml/item8.xml"/><Relationship Id="rId3" Type="http://schemas.openxmlformats.org/officeDocument/2006/relationships/worksheet" Target="worksheets/sheet3.xml"/><Relationship Id="rId21" Type="http://schemas.openxmlformats.org/officeDocument/2006/relationships/customXml" Target="../customXml/item11.xml"/><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5" Type="http://schemas.openxmlformats.org/officeDocument/2006/relationships/customXml" Target="../customXml/item5.xml"/><Relationship Id="rId10" Type="http://schemas.openxmlformats.org/officeDocument/2006/relationships/calcChain" Target="calcChain.xml"/><Relationship Id="rId19" Type="http://schemas.openxmlformats.org/officeDocument/2006/relationships/customXml" Target="../customXml/item9.xml"/><Relationship Id="rId4" Type="http://schemas.openxmlformats.org/officeDocument/2006/relationships/worksheet" Target="worksheets/sheet4.xml"/><Relationship Id="rId9" Type="http://schemas.microsoft.com/office/2007/relationships/customDataProps" Target="customData/itemProps1.xml"/><Relationship Id="rId14" Type="http://schemas.openxmlformats.org/officeDocument/2006/relationships/customXml" Target="../customXml/item4.xml"/><Relationship Id="rId22" Type="http://schemas.openxmlformats.org/officeDocument/2006/relationships/customXml" Target="../customXml/item12.xml"/></Relationships>
</file>

<file path=xl/customData/_rels/itemProps1.xml.rels><?xml version="1.0" encoding="UTF-8" standalone="yes"?>
<Relationships xmlns="http://schemas.openxmlformats.org/package/2006/relationships"><Relationship Id="rId1" Type="http://schemas.microsoft.com/office/2007/relationships/customData" Target="item1.data"/></Relationships>
</file>

<file path=xl/customData/itemProps1.xml><?xml version="1.0" encoding="utf-8"?>
<datastoreItem xmlns="http://schemas.microsoft.com/office/spreadsheetml/2009/9/main" id="Microsoft_SQLServer_AnalysisServices"/>
</file>

<file path=xl/drawings/drawing1.xml><?xml version="1.0" encoding="utf-8"?>
<xdr:wsDr xmlns:xdr="http://schemas.openxmlformats.org/drawingml/2006/spreadsheetDrawing" xmlns:a="http://schemas.openxmlformats.org/drawingml/2006/main">
  <xdr:twoCellAnchor>
    <xdr:from>
      <xdr:col>5</xdr:col>
      <xdr:colOff>936625</xdr:colOff>
      <xdr:row>37</xdr:row>
      <xdr:rowOff>47625</xdr:rowOff>
    </xdr:from>
    <xdr:to>
      <xdr:col>10</xdr:col>
      <xdr:colOff>349250</xdr:colOff>
      <xdr:row>38</xdr:row>
      <xdr:rowOff>111125</xdr:rowOff>
    </xdr:to>
    <xdr:cxnSp macro="">
      <xdr:nvCxnSpPr>
        <xdr:cNvPr id="3" name="Straight Arrow Connector 2"/>
        <xdr:cNvCxnSpPr/>
      </xdr:nvCxnSpPr>
      <xdr:spPr>
        <a:xfrm>
          <a:off x="936625" y="7477125"/>
          <a:ext cx="8334375" cy="254000"/>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952500</xdr:colOff>
      <xdr:row>36</xdr:row>
      <xdr:rowOff>47625</xdr:rowOff>
    </xdr:from>
    <xdr:to>
      <xdr:col>13</xdr:col>
      <xdr:colOff>95250</xdr:colOff>
      <xdr:row>37</xdr:row>
      <xdr:rowOff>79375</xdr:rowOff>
    </xdr:to>
    <xdr:cxnSp macro="">
      <xdr:nvCxnSpPr>
        <xdr:cNvPr id="5" name="Straight Arrow Connector 4"/>
        <xdr:cNvCxnSpPr/>
      </xdr:nvCxnSpPr>
      <xdr:spPr>
        <a:xfrm>
          <a:off x="11493500" y="7286625"/>
          <a:ext cx="2428875" cy="222250"/>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925286</xdr:colOff>
      <xdr:row>61</xdr:row>
      <xdr:rowOff>122464</xdr:rowOff>
    </xdr:from>
    <xdr:to>
      <xdr:col>2</xdr:col>
      <xdr:colOff>857251</xdr:colOff>
      <xdr:row>74</xdr:row>
      <xdr:rowOff>68036</xdr:rowOff>
    </xdr:to>
    <xdr:cxnSp macro="">
      <xdr:nvCxnSpPr>
        <xdr:cNvPr id="4" name="Straight Arrow Connector 3"/>
        <xdr:cNvCxnSpPr/>
      </xdr:nvCxnSpPr>
      <xdr:spPr>
        <a:xfrm flipH="1" flipV="1">
          <a:off x="925286" y="11552464"/>
          <a:ext cx="2106840" cy="2041072"/>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619126</xdr:colOff>
      <xdr:row>74</xdr:row>
      <xdr:rowOff>122464</xdr:rowOff>
    </xdr:from>
    <xdr:to>
      <xdr:col>0</xdr:col>
      <xdr:colOff>666750</xdr:colOff>
      <xdr:row>124</xdr:row>
      <xdr:rowOff>40821</xdr:rowOff>
    </xdr:to>
    <xdr:cxnSp macro="">
      <xdr:nvCxnSpPr>
        <xdr:cNvPr id="7" name="Straight Arrow Connector 6"/>
        <xdr:cNvCxnSpPr/>
      </xdr:nvCxnSpPr>
      <xdr:spPr>
        <a:xfrm>
          <a:off x="619126" y="15552964"/>
          <a:ext cx="47624" cy="11157857"/>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1095375</xdr:colOff>
      <xdr:row>37</xdr:row>
      <xdr:rowOff>96864</xdr:rowOff>
    </xdr:from>
    <xdr:to>
      <xdr:col>4</xdr:col>
      <xdr:colOff>1388389</xdr:colOff>
      <xdr:row>74</xdr:row>
      <xdr:rowOff>142876</xdr:rowOff>
    </xdr:to>
    <xdr:cxnSp macro="">
      <xdr:nvCxnSpPr>
        <xdr:cNvPr id="6" name="Straight Arrow Connector 5"/>
        <xdr:cNvCxnSpPr/>
      </xdr:nvCxnSpPr>
      <xdr:spPr>
        <a:xfrm flipV="1">
          <a:off x="6778087" y="8411059"/>
          <a:ext cx="2117294" cy="7601436"/>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1428751</xdr:colOff>
      <xdr:row>27</xdr:row>
      <xdr:rowOff>63500</xdr:rowOff>
    </xdr:from>
    <xdr:to>
      <xdr:col>8</xdr:col>
      <xdr:colOff>301625</xdr:colOff>
      <xdr:row>36</xdr:row>
      <xdr:rowOff>127000</xdr:rowOff>
    </xdr:to>
    <xdr:cxnSp macro="">
      <xdr:nvCxnSpPr>
        <xdr:cNvPr id="14" name="Straight Arrow Connector 13"/>
        <xdr:cNvCxnSpPr/>
      </xdr:nvCxnSpPr>
      <xdr:spPr>
        <a:xfrm flipV="1">
          <a:off x="5080001" y="5207000"/>
          <a:ext cx="904874" cy="1587500"/>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1170215</xdr:colOff>
      <xdr:row>74</xdr:row>
      <xdr:rowOff>142875</xdr:rowOff>
    </xdr:from>
    <xdr:to>
      <xdr:col>2</xdr:col>
      <xdr:colOff>1285876</xdr:colOff>
      <xdr:row>100</xdr:row>
      <xdr:rowOff>95250</xdr:rowOff>
    </xdr:to>
    <xdr:cxnSp macro="">
      <xdr:nvCxnSpPr>
        <xdr:cNvPr id="16" name="Straight Arrow Connector 15"/>
        <xdr:cNvCxnSpPr/>
      </xdr:nvCxnSpPr>
      <xdr:spPr>
        <a:xfrm flipH="1">
          <a:off x="4816929" y="15573375"/>
          <a:ext cx="115661" cy="6429375"/>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825500</xdr:colOff>
      <xdr:row>73</xdr:row>
      <xdr:rowOff>111126</xdr:rowOff>
    </xdr:from>
    <xdr:to>
      <xdr:col>21</xdr:col>
      <xdr:colOff>1238250</xdr:colOff>
      <xdr:row>77</xdr:row>
      <xdr:rowOff>57150</xdr:rowOff>
    </xdr:to>
    <xdr:cxnSp macro="">
      <xdr:nvCxnSpPr>
        <xdr:cNvPr id="18" name="Straight Arrow Connector 17"/>
        <xdr:cNvCxnSpPr/>
      </xdr:nvCxnSpPr>
      <xdr:spPr>
        <a:xfrm>
          <a:off x="28600400" y="14017626"/>
          <a:ext cx="4794250" cy="708024"/>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613475</xdr:colOff>
      <xdr:row>38</xdr:row>
      <xdr:rowOff>32289</xdr:rowOff>
    </xdr:from>
    <xdr:to>
      <xdr:col>20</xdr:col>
      <xdr:colOff>629618</xdr:colOff>
      <xdr:row>60</xdr:row>
      <xdr:rowOff>145297</xdr:rowOff>
    </xdr:to>
    <xdr:cxnSp macro="">
      <xdr:nvCxnSpPr>
        <xdr:cNvPr id="12" name="Straight Arrow Connector 11"/>
        <xdr:cNvCxnSpPr/>
      </xdr:nvCxnSpPr>
      <xdr:spPr>
        <a:xfrm flipH="1" flipV="1">
          <a:off x="32788602" y="8540213"/>
          <a:ext cx="1791991" cy="4568770"/>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1020536</xdr:colOff>
      <xdr:row>75</xdr:row>
      <xdr:rowOff>27214</xdr:rowOff>
    </xdr:from>
    <xdr:to>
      <xdr:col>8</xdr:col>
      <xdr:colOff>993321</xdr:colOff>
      <xdr:row>99</xdr:row>
      <xdr:rowOff>176893</xdr:rowOff>
    </xdr:to>
    <xdr:cxnSp macro="">
      <xdr:nvCxnSpPr>
        <xdr:cNvPr id="17" name="Straight Arrow Connector 16"/>
        <xdr:cNvCxnSpPr/>
      </xdr:nvCxnSpPr>
      <xdr:spPr>
        <a:xfrm>
          <a:off x="1020536" y="15648214"/>
          <a:ext cx="13784035" cy="5864679"/>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966107</xdr:colOff>
      <xdr:row>74</xdr:row>
      <xdr:rowOff>136071</xdr:rowOff>
    </xdr:from>
    <xdr:to>
      <xdr:col>12</xdr:col>
      <xdr:colOff>884464</xdr:colOff>
      <xdr:row>100</xdr:row>
      <xdr:rowOff>27214</xdr:rowOff>
    </xdr:to>
    <xdr:cxnSp macro="">
      <xdr:nvCxnSpPr>
        <xdr:cNvPr id="19" name="Straight Arrow Connector 18"/>
        <xdr:cNvCxnSpPr/>
      </xdr:nvCxnSpPr>
      <xdr:spPr>
        <a:xfrm>
          <a:off x="966107" y="15566571"/>
          <a:ext cx="20097750" cy="5987143"/>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32288</xdr:colOff>
      <xdr:row>37</xdr:row>
      <xdr:rowOff>129153</xdr:rowOff>
    </xdr:from>
    <xdr:to>
      <xdr:col>7</xdr:col>
      <xdr:colOff>352748</xdr:colOff>
      <xdr:row>74</xdr:row>
      <xdr:rowOff>13723</xdr:rowOff>
    </xdr:to>
    <xdr:cxnSp macro="">
      <xdr:nvCxnSpPr>
        <xdr:cNvPr id="23" name="Straight Arrow Connector 22"/>
        <xdr:cNvCxnSpPr/>
      </xdr:nvCxnSpPr>
      <xdr:spPr>
        <a:xfrm flipH="1" flipV="1">
          <a:off x="7539280" y="8249619"/>
          <a:ext cx="5099104" cy="7439994"/>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queryTables/queryTable1.xml><?xml version="1.0" encoding="utf-8"?>
<queryTable xmlns="http://schemas.openxmlformats.org/spreadsheetml/2006/main" name="gs1_gcp" connectionId="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brand_type" connectionId="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gs1_gcp_nb" connectionId="9"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pkg_type" connectionId="16"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label" connectionId="13"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gs1_prefix" connectionId="1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brand" connectionId="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nutrition" connectionId="15"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brand_owner" connectionId="3"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label_gtn" connectionId="1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gs1_gcp_rc" connectionId="10"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gs1_gcp_gpc" connectionId="7"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gs1_gcp_hier" connectionId="8"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brand_group" connectionId="2"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GTIN Tables And Record Counts" connectionId="12"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queryTable" Target="../queryTables/queryTable6.xml"/><Relationship Id="rId13" Type="http://schemas.openxmlformats.org/officeDocument/2006/relationships/queryTable" Target="../queryTables/queryTable11.xml"/><Relationship Id="rId3" Type="http://schemas.openxmlformats.org/officeDocument/2006/relationships/queryTable" Target="../queryTables/queryTable1.xml"/><Relationship Id="rId7" Type="http://schemas.openxmlformats.org/officeDocument/2006/relationships/queryTable" Target="../queryTables/queryTable5.xml"/><Relationship Id="rId12" Type="http://schemas.openxmlformats.org/officeDocument/2006/relationships/queryTable" Target="../queryTables/queryTable10.xml"/><Relationship Id="rId17" Type="http://schemas.openxmlformats.org/officeDocument/2006/relationships/queryTable" Target="../queryTables/queryTable15.xml"/><Relationship Id="rId2" Type="http://schemas.openxmlformats.org/officeDocument/2006/relationships/drawing" Target="../drawings/drawing1.xml"/><Relationship Id="rId16" Type="http://schemas.openxmlformats.org/officeDocument/2006/relationships/queryTable" Target="../queryTables/queryTable14.xml"/><Relationship Id="rId1" Type="http://schemas.openxmlformats.org/officeDocument/2006/relationships/printerSettings" Target="../printerSettings/printerSettings1.bin"/><Relationship Id="rId6" Type="http://schemas.openxmlformats.org/officeDocument/2006/relationships/queryTable" Target="../queryTables/queryTable4.xml"/><Relationship Id="rId11" Type="http://schemas.openxmlformats.org/officeDocument/2006/relationships/queryTable" Target="../queryTables/queryTable9.xml"/><Relationship Id="rId5" Type="http://schemas.openxmlformats.org/officeDocument/2006/relationships/queryTable" Target="../queryTables/queryTable3.xml"/><Relationship Id="rId15" Type="http://schemas.openxmlformats.org/officeDocument/2006/relationships/queryTable" Target="../queryTables/queryTable13.xml"/><Relationship Id="rId10" Type="http://schemas.openxmlformats.org/officeDocument/2006/relationships/queryTable" Target="../queryTables/queryTable8.xml"/><Relationship Id="rId4" Type="http://schemas.openxmlformats.org/officeDocument/2006/relationships/queryTable" Target="../queryTables/queryTable2.xml"/><Relationship Id="rId9" Type="http://schemas.openxmlformats.org/officeDocument/2006/relationships/queryTable" Target="../queryTables/queryTable7.xml"/><Relationship Id="rId14" Type="http://schemas.openxmlformats.org/officeDocument/2006/relationships/queryTable" Target="../queryTables/query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D174"/>
  <sheetViews>
    <sheetView showGridLines="0" tabSelected="1" topLeftCell="A46" zoomScale="50" zoomScaleNormal="50" workbookViewId="0">
      <selection activeCell="N53" sqref="N53"/>
    </sheetView>
  </sheetViews>
  <sheetFormatPr defaultRowHeight="15" x14ac:dyDescent="0.25"/>
  <cols>
    <col min="1" max="1" width="17.28515625" bestFit="1" customWidth="1"/>
    <col min="2" max="2" width="37.42578125" customWidth="1"/>
    <col min="3" max="3" width="30.42578125" customWidth="1"/>
    <col min="4" max="4" width="27.28515625" customWidth="1"/>
    <col min="5" max="5" width="21.28515625" customWidth="1"/>
    <col min="6" max="6" width="24.28515625" customWidth="1"/>
    <col min="7" max="7" width="26.140625" customWidth="1"/>
    <col min="8" max="8" width="23" customWidth="1"/>
    <col min="9" max="9" width="28" customWidth="1"/>
    <col min="10" max="10" width="24.28515625" customWidth="1"/>
    <col min="11" max="11" width="19.85546875" customWidth="1"/>
    <col min="12" max="12" width="23.42578125" customWidth="1"/>
    <col min="13" max="13" width="28.85546875" customWidth="1"/>
    <col min="14" max="14" width="22.5703125" customWidth="1"/>
    <col min="15" max="15" width="26.42578125" customWidth="1"/>
    <col min="16" max="16" width="27.5703125" customWidth="1"/>
    <col min="17" max="17" width="16.85546875" customWidth="1"/>
    <col min="18" max="18" width="38.7109375" customWidth="1"/>
    <col min="19" max="19" width="18.5703125" customWidth="1"/>
    <col min="20" max="20" width="26.7109375" customWidth="1"/>
    <col min="21" max="21" width="19.42578125" customWidth="1"/>
    <col min="22" max="22" width="19.7109375" customWidth="1"/>
    <col min="23" max="23" width="17.42578125" customWidth="1"/>
    <col min="24" max="24" width="34.42578125" customWidth="1"/>
    <col min="25" max="25" width="40.7109375" customWidth="1"/>
    <col min="26" max="26" width="16.5703125" customWidth="1"/>
    <col min="27" max="27" width="38.7109375" customWidth="1"/>
    <col min="28" max="28" width="45.140625" customWidth="1"/>
    <col min="29" max="29" width="48.7109375" customWidth="1"/>
    <col min="30" max="30" width="76.85546875" bestFit="1" customWidth="1"/>
    <col min="31" max="31" width="10.42578125" customWidth="1"/>
    <col min="32" max="32" width="23.5703125" bestFit="1" customWidth="1"/>
    <col min="33" max="33" width="23.42578125" bestFit="1" customWidth="1"/>
    <col min="34" max="34" width="21" bestFit="1" customWidth="1"/>
    <col min="35" max="35" width="16.42578125" bestFit="1" customWidth="1"/>
    <col min="36" max="36" width="30.140625" bestFit="1" customWidth="1"/>
    <col min="37" max="37" width="21.5703125" bestFit="1" customWidth="1"/>
    <col min="38" max="38" width="21.42578125" bestFit="1" customWidth="1"/>
    <col min="39" max="39" width="16.7109375" bestFit="1" customWidth="1"/>
    <col min="40" max="40" width="19.7109375" bestFit="1" customWidth="1"/>
    <col min="41" max="41" width="17" bestFit="1" customWidth="1"/>
    <col min="42" max="42" width="16.7109375" bestFit="1" customWidth="1"/>
    <col min="43" max="43" width="16.42578125" bestFit="1" customWidth="1"/>
    <col min="44" max="44" width="9.42578125" bestFit="1" customWidth="1"/>
    <col min="45" max="45" width="10.42578125" bestFit="1" customWidth="1"/>
  </cols>
  <sheetData>
    <row r="1" spans="1:14" x14ac:dyDescent="0.25">
      <c r="B1" t="s">
        <v>255</v>
      </c>
      <c r="J1" t="s">
        <v>254</v>
      </c>
    </row>
    <row r="2" spans="1:14" x14ac:dyDescent="0.25">
      <c r="B2" s="3" t="s">
        <v>100</v>
      </c>
      <c r="C2" s="3" t="s">
        <v>101</v>
      </c>
      <c r="D2" s="4" t="s">
        <v>396</v>
      </c>
      <c r="J2" s="16" t="s">
        <v>249</v>
      </c>
      <c r="K2" s="16" t="s">
        <v>100</v>
      </c>
      <c r="L2" s="16" t="s">
        <v>252</v>
      </c>
      <c r="M2" s="17" t="s">
        <v>253</v>
      </c>
      <c r="N2" s="19" t="s">
        <v>382</v>
      </c>
    </row>
    <row r="3" spans="1:14" x14ac:dyDescent="0.25">
      <c r="A3" s="4" t="s">
        <v>350</v>
      </c>
      <c r="B3" s="5" t="s">
        <v>64</v>
      </c>
      <c r="C3" s="11">
        <v>4151</v>
      </c>
      <c r="D3" s="26" t="s">
        <v>391</v>
      </c>
      <c r="E3" s="27"/>
      <c r="F3" s="27"/>
      <c r="G3" s="28"/>
      <c r="J3" s="14" t="s">
        <v>250</v>
      </c>
      <c r="K3" s="14" t="s">
        <v>64</v>
      </c>
      <c r="L3" s="14" t="s">
        <v>11</v>
      </c>
      <c r="M3" s="15"/>
      <c r="N3" s="1" t="str">
        <f>+L3&amp;" , "&amp;M3</f>
        <v xml:space="preserve">BSIN , </v>
      </c>
    </row>
    <row r="4" spans="1:14" x14ac:dyDescent="0.25">
      <c r="A4" s="4"/>
      <c r="B4" s="5" t="s">
        <v>69</v>
      </c>
      <c r="C4" s="11">
        <v>3</v>
      </c>
      <c r="D4" s="26" t="s">
        <v>397</v>
      </c>
      <c r="E4" s="27"/>
      <c r="F4" s="27"/>
      <c r="G4" s="28"/>
      <c r="J4" s="14" t="s">
        <v>250</v>
      </c>
      <c r="K4" s="14" t="s">
        <v>69</v>
      </c>
      <c r="L4" s="14" t="s">
        <v>11</v>
      </c>
      <c r="M4" s="15"/>
      <c r="N4" s="1" t="str">
        <f t="shared" ref="N4:N18" si="0">+L4&amp;" , "&amp;M4</f>
        <v xml:space="preserve">BSIN , </v>
      </c>
    </row>
    <row r="5" spans="1:14" x14ac:dyDescent="0.25">
      <c r="A5" s="4" t="s">
        <v>351</v>
      </c>
      <c r="B5" s="5" t="s">
        <v>102</v>
      </c>
      <c r="C5" s="11">
        <v>32</v>
      </c>
      <c r="D5" s="26" t="s">
        <v>392</v>
      </c>
      <c r="E5" s="27"/>
      <c r="F5" s="27"/>
      <c r="G5" s="28"/>
      <c r="J5" s="14" t="s">
        <v>250</v>
      </c>
      <c r="K5" s="14" t="s">
        <v>102</v>
      </c>
      <c r="L5" s="14" t="s">
        <v>12</v>
      </c>
      <c r="M5" s="15"/>
      <c r="N5" s="1" t="str">
        <f t="shared" si="0"/>
        <v xml:space="preserve">OWNER_CD , </v>
      </c>
    </row>
    <row r="6" spans="1:14" x14ac:dyDescent="0.25">
      <c r="A6" s="4" t="s">
        <v>352</v>
      </c>
      <c r="B6" s="5" t="s">
        <v>99</v>
      </c>
      <c r="C6" s="11">
        <v>581</v>
      </c>
      <c r="D6" s="26" t="s">
        <v>397</v>
      </c>
      <c r="E6" s="27"/>
      <c r="F6" s="27"/>
      <c r="G6" s="28"/>
      <c r="J6" s="14" t="s">
        <v>250</v>
      </c>
      <c r="K6" s="14" t="s">
        <v>99</v>
      </c>
      <c r="L6" s="14" t="s">
        <v>11</v>
      </c>
      <c r="M6" s="15"/>
      <c r="N6" s="1" t="str">
        <f t="shared" si="0"/>
        <v xml:space="preserve">BSIN , </v>
      </c>
    </row>
    <row r="7" spans="1:14" x14ac:dyDescent="0.25">
      <c r="A7" s="4"/>
      <c r="B7" s="5" t="s">
        <v>103</v>
      </c>
      <c r="C7" s="11">
        <v>2</v>
      </c>
      <c r="D7" s="26" t="s">
        <v>393</v>
      </c>
      <c r="E7" s="27"/>
      <c r="F7" s="27"/>
      <c r="G7" s="28"/>
      <c r="J7" s="14" t="s">
        <v>250</v>
      </c>
      <c r="K7" s="14" t="s">
        <v>103</v>
      </c>
      <c r="L7" s="14" t="s">
        <v>33</v>
      </c>
      <c r="M7" s="15"/>
      <c r="N7" s="1" t="str">
        <f t="shared" si="0"/>
        <v xml:space="preserve">BRAND_TYPE_CD , </v>
      </c>
    </row>
    <row r="8" spans="1:14" x14ac:dyDescent="0.25">
      <c r="A8" s="13" t="s">
        <v>353</v>
      </c>
      <c r="B8" s="5" t="s">
        <v>104</v>
      </c>
      <c r="C8" s="11">
        <v>1549550</v>
      </c>
      <c r="D8" s="26" t="s">
        <v>386</v>
      </c>
      <c r="E8" s="27"/>
      <c r="F8" s="27"/>
      <c r="G8" s="28"/>
      <c r="J8" s="14" t="s">
        <v>250</v>
      </c>
      <c r="K8" s="14" t="s">
        <v>104</v>
      </c>
      <c r="L8" s="14" t="s">
        <v>117</v>
      </c>
      <c r="M8" s="15"/>
      <c r="N8" s="1" t="str">
        <f t="shared" si="0"/>
        <v xml:space="preserve">GCP_CD , </v>
      </c>
    </row>
    <row r="9" spans="1:14" x14ac:dyDescent="0.25">
      <c r="A9" s="4"/>
      <c r="B9" s="5" t="s">
        <v>105</v>
      </c>
      <c r="C9" s="11">
        <v>264</v>
      </c>
      <c r="D9" s="26" t="s">
        <v>400</v>
      </c>
      <c r="E9" s="27"/>
      <c r="F9" s="27"/>
      <c r="G9" s="28"/>
      <c r="J9" s="14" t="s">
        <v>250</v>
      </c>
      <c r="K9" s="14" t="s">
        <v>105</v>
      </c>
      <c r="L9" s="14" t="s">
        <v>182</v>
      </c>
      <c r="M9" s="15" t="s">
        <v>183</v>
      </c>
      <c r="N9" s="1" t="str">
        <f t="shared" si="0"/>
        <v>prefix_cd , gcp_length</v>
      </c>
    </row>
    <row r="10" spans="1:14" x14ac:dyDescent="0.25">
      <c r="A10" s="4"/>
      <c r="B10" s="5" t="s">
        <v>106</v>
      </c>
      <c r="C10" s="11">
        <v>16</v>
      </c>
      <c r="D10" s="26" t="s">
        <v>387</v>
      </c>
      <c r="E10" s="27"/>
      <c r="F10" s="27"/>
      <c r="G10" s="28"/>
      <c r="J10" s="14" t="s">
        <v>250</v>
      </c>
      <c r="K10" s="14" t="s">
        <v>106</v>
      </c>
      <c r="L10" s="14" t="s">
        <v>137</v>
      </c>
      <c r="M10" s="15"/>
      <c r="N10" s="1" t="str">
        <f t="shared" si="0"/>
        <v xml:space="preserve">RETURN_CODE , </v>
      </c>
    </row>
    <row r="11" spans="1:14" x14ac:dyDescent="0.25">
      <c r="A11" s="4"/>
      <c r="B11" s="5" t="s">
        <v>107</v>
      </c>
      <c r="C11" s="11">
        <v>38760</v>
      </c>
      <c r="D11" s="26" t="s">
        <v>388</v>
      </c>
      <c r="E11" s="27"/>
      <c r="F11" s="27"/>
      <c r="G11" s="28"/>
      <c r="J11" s="14" t="s">
        <v>250</v>
      </c>
      <c r="K11" s="14" t="s">
        <v>107</v>
      </c>
      <c r="L11" s="14" t="s">
        <v>205</v>
      </c>
      <c r="M11" s="15" t="s">
        <v>206</v>
      </c>
      <c r="N11" s="1" t="str">
        <f t="shared" si="0"/>
        <v>GPC_LANG , GPC_CD</v>
      </c>
    </row>
    <row r="12" spans="1:14" x14ac:dyDescent="0.25">
      <c r="A12" s="4"/>
      <c r="B12" s="5" t="s">
        <v>108</v>
      </c>
      <c r="C12" s="11">
        <v>3298</v>
      </c>
      <c r="D12" s="26" t="s">
        <v>389</v>
      </c>
      <c r="E12" s="27"/>
      <c r="F12" s="27"/>
      <c r="G12" s="28"/>
      <c r="J12" s="14" t="s">
        <v>250</v>
      </c>
      <c r="K12" s="14" t="s">
        <v>108</v>
      </c>
      <c r="L12" s="14" t="s">
        <v>231</v>
      </c>
      <c r="M12" s="15"/>
      <c r="N12" s="1" t="str">
        <f t="shared" si="0"/>
        <v xml:space="preserve">GPC_B_CD , </v>
      </c>
    </row>
    <row r="13" spans="1:14" x14ac:dyDescent="0.25">
      <c r="A13" s="4"/>
      <c r="B13" s="5" t="s">
        <v>109</v>
      </c>
      <c r="C13" s="11">
        <v>1000</v>
      </c>
      <c r="D13" s="26" t="s">
        <v>390</v>
      </c>
      <c r="E13" s="27"/>
      <c r="F13" s="27"/>
      <c r="G13" s="28"/>
      <c r="J13" s="14" t="s">
        <v>250</v>
      </c>
      <c r="K13" s="14" t="s">
        <v>109</v>
      </c>
      <c r="L13" s="14" t="s">
        <v>232</v>
      </c>
      <c r="M13" s="15"/>
      <c r="N13" s="1" t="str">
        <f t="shared" si="0"/>
        <v xml:space="preserve">PREFIX_CD , </v>
      </c>
    </row>
    <row r="14" spans="1:14" x14ac:dyDescent="0.25">
      <c r="A14" s="4" t="s">
        <v>214</v>
      </c>
      <c r="B14" s="5" t="s">
        <v>110</v>
      </c>
      <c r="C14" s="11">
        <v>844270</v>
      </c>
      <c r="D14" s="26" t="s">
        <v>385</v>
      </c>
      <c r="E14" s="27"/>
      <c r="F14" s="27"/>
      <c r="G14" s="28"/>
      <c r="J14" s="14" t="s">
        <v>250</v>
      </c>
      <c r="K14" s="14" t="s">
        <v>110</v>
      </c>
      <c r="L14" s="14" t="s">
        <v>8</v>
      </c>
      <c r="M14" s="15"/>
      <c r="N14" s="1" t="str">
        <f t="shared" si="0"/>
        <v xml:space="preserve">GTIN_CD , </v>
      </c>
    </row>
    <row r="15" spans="1:14" x14ac:dyDescent="0.25">
      <c r="A15" s="4"/>
      <c r="B15" s="5" t="s">
        <v>10</v>
      </c>
      <c r="C15" s="11">
        <v>2</v>
      </c>
      <c r="D15" s="26" t="s">
        <v>397</v>
      </c>
      <c r="E15" s="27"/>
      <c r="F15" s="27"/>
      <c r="G15" s="28"/>
      <c r="J15" s="14" t="s">
        <v>250</v>
      </c>
      <c r="K15" s="14" t="s">
        <v>10</v>
      </c>
      <c r="L15" s="14" t="s">
        <v>0</v>
      </c>
      <c r="M15" s="15"/>
      <c r="N15" s="1" t="str">
        <f t="shared" si="0"/>
        <v xml:space="preserve">LABEL_ID , </v>
      </c>
    </row>
    <row r="16" spans="1:14" x14ac:dyDescent="0.25">
      <c r="A16" s="4"/>
      <c r="B16" s="5" t="s">
        <v>9</v>
      </c>
      <c r="C16" s="11">
        <v>3</v>
      </c>
      <c r="D16" s="26" t="s">
        <v>397</v>
      </c>
      <c r="E16" s="27"/>
      <c r="F16" s="27"/>
      <c r="G16" s="28"/>
      <c r="J16" s="14" t="s">
        <v>250</v>
      </c>
      <c r="K16" s="14" t="s">
        <v>9</v>
      </c>
      <c r="L16" s="14" t="s">
        <v>0</v>
      </c>
      <c r="M16" s="1"/>
      <c r="N16" s="1" t="str">
        <f t="shared" si="0"/>
        <v xml:space="preserve">LABEL_ID , </v>
      </c>
    </row>
    <row r="17" spans="1:14" x14ac:dyDescent="0.25">
      <c r="A17" s="4" t="s">
        <v>354</v>
      </c>
      <c r="B17" s="5" t="s">
        <v>111</v>
      </c>
      <c r="C17" s="11">
        <v>231</v>
      </c>
      <c r="D17" s="26" t="s">
        <v>395</v>
      </c>
      <c r="E17" s="27"/>
      <c r="F17" s="27"/>
      <c r="G17" s="28"/>
      <c r="J17" s="14" t="s">
        <v>250</v>
      </c>
      <c r="K17" s="14" t="s">
        <v>111</v>
      </c>
      <c r="L17" s="14" t="s">
        <v>8</v>
      </c>
      <c r="M17" s="15"/>
      <c r="N17" s="1" t="str">
        <f t="shared" si="0"/>
        <v xml:space="preserve">GTIN_CD , </v>
      </c>
    </row>
    <row r="18" spans="1:14" x14ac:dyDescent="0.25">
      <c r="A18" s="4"/>
      <c r="B18" s="5" t="s">
        <v>112</v>
      </c>
      <c r="C18" s="11">
        <v>42</v>
      </c>
      <c r="D18" s="26" t="s">
        <v>394</v>
      </c>
      <c r="E18" s="27"/>
      <c r="F18" s="27"/>
      <c r="G18" s="28"/>
      <c r="J18" s="14" t="s">
        <v>250</v>
      </c>
      <c r="K18" s="14" t="s">
        <v>112</v>
      </c>
      <c r="L18" s="14" t="s">
        <v>251</v>
      </c>
      <c r="M18" s="15"/>
      <c r="N18" s="1" t="str">
        <f t="shared" si="0"/>
        <v xml:space="preserve">pkg_type_cd , </v>
      </c>
    </row>
    <row r="23" spans="1:14" x14ac:dyDescent="0.25">
      <c r="F23" s="1" t="s">
        <v>7</v>
      </c>
      <c r="G23" s="20" t="s">
        <v>69</v>
      </c>
      <c r="I23" s="1" t="s">
        <v>7</v>
      </c>
      <c r="J23" s="20" t="s">
        <v>103</v>
      </c>
    </row>
    <row r="24" spans="1:14" ht="30" x14ac:dyDescent="0.25">
      <c r="F24" s="1" t="s">
        <v>396</v>
      </c>
      <c r="G24" s="20" t="str">
        <f>VLOOKUP(G23,$B$3:$D$18,3)</f>
        <v xml:space="preserve"> </v>
      </c>
      <c r="I24" s="1" t="s">
        <v>396</v>
      </c>
      <c r="J24" s="31" t="str">
        <f>VLOOKUP(J23,$B$3:$D$18,3)</f>
        <v>Codification table for the brand type</v>
      </c>
    </row>
    <row r="25" spans="1:14" x14ac:dyDescent="0.25">
      <c r="F25" s="1" t="s">
        <v>383</v>
      </c>
      <c r="G25" s="1" t="str">
        <f>+VLOOKUP(G23,$K$3:$N$18,4,FALSE)</f>
        <v xml:space="preserve">BSIN , </v>
      </c>
      <c r="I25" s="1" t="s">
        <v>383</v>
      </c>
      <c r="J25" s="1" t="str">
        <f>+VLOOKUP(J23,$K$3:$N$18,4,FALSE)</f>
        <v xml:space="preserve">BRAND_TYPE_CD , </v>
      </c>
    </row>
    <row r="26" spans="1:14" x14ac:dyDescent="0.25">
      <c r="F26" s="1" t="s">
        <v>113</v>
      </c>
      <c r="G26" s="22">
        <f>VLOOKUP(G23,$B$3:$C$18,2)</f>
        <v>3</v>
      </c>
      <c r="I26" s="1" t="s">
        <v>113</v>
      </c>
      <c r="J26" s="22">
        <f>VLOOKUP(J23,$B$3:$C$18,2)</f>
        <v>2</v>
      </c>
    </row>
    <row r="27" spans="1:14" x14ac:dyDescent="0.25">
      <c r="F27" s="24" t="s">
        <v>11</v>
      </c>
      <c r="G27" s="3" t="s">
        <v>65</v>
      </c>
      <c r="I27" s="24" t="s">
        <v>33</v>
      </c>
      <c r="J27" s="3" t="s">
        <v>114</v>
      </c>
    </row>
    <row r="28" spans="1:14" x14ac:dyDescent="0.25">
      <c r="F28" s="1">
        <v>1</v>
      </c>
      <c r="G28" s="1" t="s">
        <v>66</v>
      </c>
      <c r="I28" s="1">
        <v>1</v>
      </c>
      <c r="J28" s="1" t="s">
        <v>115</v>
      </c>
    </row>
    <row r="29" spans="1:14" x14ac:dyDescent="0.25">
      <c r="F29" s="1">
        <v>2</v>
      </c>
      <c r="G29" s="1" t="s">
        <v>67</v>
      </c>
      <c r="I29" s="1">
        <v>2</v>
      </c>
      <c r="J29" s="1" t="s">
        <v>116</v>
      </c>
    </row>
    <row r="30" spans="1:14" x14ac:dyDescent="0.25">
      <c r="F30" s="1">
        <v>3</v>
      </c>
      <c r="G30" s="1" t="s">
        <v>68</v>
      </c>
    </row>
    <row r="33" spans="1:22" x14ac:dyDescent="0.25">
      <c r="A33" s="1" t="s">
        <v>7</v>
      </c>
      <c r="B33" s="20" t="s">
        <v>108</v>
      </c>
      <c r="F33" s="1" t="s">
        <v>7</v>
      </c>
      <c r="G33" s="20" t="s">
        <v>64</v>
      </c>
      <c r="K33" s="1" t="s">
        <v>7</v>
      </c>
      <c r="L33" s="20" t="s">
        <v>99</v>
      </c>
      <c r="N33" s="1" t="s">
        <v>7</v>
      </c>
      <c r="O33" s="20" t="s">
        <v>102</v>
      </c>
      <c r="T33" s="1" t="s">
        <v>7</v>
      </c>
      <c r="U33" s="1" t="s">
        <v>106</v>
      </c>
    </row>
    <row r="34" spans="1:22" ht="75" x14ac:dyDescent="0.25">
      <c r="A34" s="30" t="s">
        <v>396</v>
      </c>
      <c r="B34" s="31" t="str">
        <f>VLOOKUP(B33,$B$3:$D$18,3)</f>
        <v>contains the hierarchy between segment, family, class and brick of the GPC classification</v>
      </c>
      <c r="C34" s="32"/>
      <c r="D34" s="32"/>
      <c r="F34" s="1" t="s">
        <v>396</v>
      </c>
      <c r="G34" s="29" t="str">
        <f>VLOOKUP(G33,$B$3:$D$18,3)</f>
        <v>List of brands</v>
      </c>
      <c r="K34" s="1" t="s">
        <v>396</v>
      </c>
      <c r="L34" s="20" t="str">
        <f>VLOOKUP(L33,$B$3:$D$18,3)</f>
        <v xml:space="preserve"> </v>
      </c>
      <c r="N34" s="1" t="s">
        <v>396</v>
      </c>
      <c r="O34" s="29" t="str">
        <f>VLOOKUP(O33,$B$3:$D$18,3)</f>
        <v>List of Brand owners</v>
      </c>
      <c r="T34" s="1" t="s">
        <v>396</v>
      </c>
      <c r="U34" s="31" t="str">
        <f>VLOOKUP(U33,$B$3:$D$18,3)</f>
        <v>listing all return codes of the GEPIR and those created by POD for data quality matters</v>
      </c>
    </row>
    <row r="35" spans="1:22" x14ac:dyDescent="0.25">
      <c r="A35" s="1" t="s">
        <v>383</v>
      </c>
      <c r="B35" s="1" t="str">
        <f>+VLOOKUP(B33,$K$3:$N$18,4,FALSE)</f>
        <v xml:space="preserve">GPC_B_CD , </v>
      </c>
      <c r="F35" s="1" t="s">
        <v>383</v>
      </c>
      <c r="G35" s="1" t="str">
        <f>+VLOOKUP(G33,$K$3:$N$18,4,FALSE)</f>
        <v xml:space="preserve">BSIN , </v>
      </c>
      <c r="K35" s="1" t="s">
        <v>383</v>
      </c>
      <c r="L35" s="1" t="str">
        <f>+VLOOKUP(L33,$K$3:$N$18,4,FALSE)</f>
        <v xml:space="preserve">BSIN , </v>
      </c>
      <c r="N35" s="1" t="s">
        <v>383</v>
      </c>
      <c r="O35" s="1" t="str">
        <f>+VLOOKUP(O33,$K$3:$N$18,4,FALSE)</f>
        <v xml:space="preserve">OWNER_CD , </v>
      </c>
      <c r="T35" s="1" t="s">
        <v>383</v>
      </c>
      <c r="U35" s="21" t="str">
        <f>+VLOOKUP(U33,$K$3:$N$18,4,FALSE)</f>
        <v xml:space="preserve">RETURN_CODE , </v>
      </c>
    </row>
    <row r="36" spans="1:22" x14ac:dyDescent="0.25">
      <c r="A36" s="1" t="s">
        <v>113</v>
      </c>
      <c r="B36" s="21">
        <f>VLOOKUP(B33,$B$3:$C$18,2,)</f>
        <v>3298</v>
      </c>
      <c r="F36" s="1" t="s">
        <v>113</v>
      </c>
      <c r="G36" s="21">
        <f>VLOOKUP(G33,$B$3:$C$18,2)</f>
        <v>4151</v>
      </c>
      <c r="K36" s="1" t="s">
        <v>113</v>
      </c>
      <c r="L36" s="22">
        <f>VLOOKUP(L33,$B$3:$C$18,2)</f>
        <v>581</v>
      </c>
      <c r="N36" s="1" t="s">
        <v>113</v>
      </c>
      <c r="O36" s="22">
        <f>VLOOKUP(O33,$B$3:$C$18,2)</f>
        <v>32</v>
      </c>
      <c r="T36" s="1" t="s">
        <v>113</v>
      </c>
      <c r="U36" s="1">
        <f>VLOOKUP(U33,$B$3:$C$18,2)</f>
        <v>16</v>
      </c>
    </row>
    <row r="37" spans="1:22" x14ac:dyDescent="0.25">
      <c r="A37" s="10" t="s">
        <v>228</v>
      </c>
      <c r="B37" s="3" t="s">
        <v>229</v>
      </c>
      <c r="C37" s="3" t="s">
        <v>230</v>
      </c>
      <c r="D37" s="24" t="s">
        <v>231</v>
      </c>
      <c r="F37" s="24" t="s">
        <v>11</v>
      </c>
      <c r="G37" s="3" t="s">
        <v>32</v>
      </c>
      <c r="H37" s="3" t="s">
        <v>33</v>
      </c>
      <c r="I37" s="3" t="s">
        <v>34</v>
      </c>
      <c r="K37" s="24" t="s">
        <v>11</v>
      </c>
      <c r="L37" s="3" t="s">
        <v>12</v>
      </c>
      <c r="N37" s="24" t="s">
        <v>12</v>
      </c>
      <c r="O37" s="3" t="s">
        <v>70</v>
      </c>
      <c r="P37" s="3" t="s">
        <v>71</v>
      </c>
      <c r="Q37" s="3" t="s">
        <v>72</v>
      </c>
      <c r="T37" s="25" t="s">
        <v>137</v>
      </c>
      <c r="U37" s="3" t="s">
        <v>185</v>
      </c>
      <c r="V37" s="3" t="s">
        <v>186</v>
      </c>
    </row>
    <row r="38" spans="1:22" x14ac:dyDescent="0.25">
      <c r="A38" s="9">
        <v>50000000</v>
      </c>
      <c r="B38" s="1">
        <v>50270000</v>
      </c>
      <c r="C38" s="1">
        <v>50270100</v>
      </c>
      <c r="D38" s="1">
        <v>10000002</v>
      </c>
      <c r="F38" s="1" t="s">
        <v>23</v>
      </c>
      <c r="G38" s="1" t="s">
        <v>35</v>
      </c>
      <c r="H38" s="1">
        <v>2</v>
      </c>
      <c r="I38" s="1" t="s">
        <v>36</v>
      </c>
      <c r="K38" s="1" t="s">
        <v>13</v>
      </c>
      <c r="L38" s="1">
        <v>27</v>
      </c>
      <c r="N38" s="1">
        <v>23</v>
      </c>
      <c r="O38" s="1" t="s">
        <v>73</v>
      </c>
      <c r="P38" s="1" t="s">
        <v>74</v>
      </c>
      <c r="Q38" s="1" t="s">
        <v>75</v>
      </c>
      <c r="T38" s="9">
        <v>0</v>
      </c>
      <c r="U38" s="1" t="s">
        <v>187</v>
      </c>
      <c r="V38" s="1" t="s">
        <v>188</v>
      </c>
    </row>
    <row r="39" spans="1:22" x14ac:dyDescent="0.25">
      <c r="A39" s="9">
        <v>50000000</v>
      </c>
      <c r="B39" s="1">
        <v>50310000</v>
      </c>
      <c r="C39" s="1">
        <v>50310100</v>
      </c>
      <c r="D39" s="1">
        <v>10000003</v>
      </c>
      <c r="F39" s="1" t="s">
        <v>24</v>
      </c>
      <c r="G39" s="1" t="s">
        <v>37</v>
      </c>
      <c r="H39" s="1">
        <v>1</v>
      </c>
      <c r="I39" s="1" t="s">
        <v>36</v>
      </c>
      <c r="K39" s="1" t="s">
        <v>14</v>
      </c>
      <c r="L39" s="1">
        <v>27</v>
      </c>
      <c r="N39" s="1">
        <v>24</v>
      </c>
      <c r="O39" s="1" t="s">
        <v>76</v>
      </c>
      <c r="P39" s="1" t="s">
        <v>77</v>
      </c>
      <c r="Q39" s="1" t="s">
        <v>78</v>
      </c>
      <c r="T39" s="9">
        <v>1</v>
      </c>
      <c r="U39" s="1" t="s">
        <v>189</v>
      </c>
      <c r="V39" s="1" t="s">
        <v>188</v>
      </c>
    </row>
    <row r="40" spans="1:22" x14ac:dyDescent="0.25">
      <c r="A40" s="9">
        <v>50000000</v>
      </c>
      <c r="B40" s="1">
        <v>50290000</v>
      </c>
      <c r="C40" s="1">
        <v>50290100</v>
      </c>
      <c r="D40" s="1">
        <v>10000005</v>
      </c>
      <c r="F40" s="1" t="s">
        <v>20</v>
      </c>
      <c r="G40" s="1" t="s">
        <v>38</v>
      </c>
      <c r="H40" s="1">
        <v>1</v>
      </c>
      <c r="I40" s="1" t="s">
        <v>39</v>
      </c>
      <c r="K40" s="1" t="s">
        <v>15</v>
      </c>
      <c r="L40" s="1">
        <v>27</v>
      </c>
      <c r="N40" s="1">
        <v>25</v>
      </c>
      <c r="O40" s="1" t="s">
        <v>79</v>
      </c>
      <c r="P40" s="1" t="s">
        <v>80</v>
      </c>
      <c r="Q40" s="1" t="s">
        <v>81</v>
      </c>
      <c r="T40" s="9">
        <v>2</v>
      </c>
      <c r="U40" s="1" t="s">
        <v>190</v>
      </c>
      <c r="V40" s="1" t="s">
        <v>188</v>
      </c>
    </row>
    <row r="41" spans="1:22" x14ac:dyDescent="0.25">
      <c r="A41" s="9">
        <v>50000000</v>
      </c>
      <c r="B41" s="1">
        <v>50320000</v>
      </c>
      <c r="C41" s="1">
        <v>50320100</v>
      </c>
      <c r="D41" s="1">
        <v>10000006</v>
      </c>
      <c r="F41" s="1" t="s">
        <v>25</v>
      </c>
      <c r="G41" s="1" t="s">
        <v>40</v>
      </c>
      <c r="H41" s="1">
        <v>1</v>
      </c>
      <c r="I41" s="1" t="s">
        <v>41</v>
      </c>
      <c r="K41" s="1" t="s">
        <v>16</v>
      </c>
      <c r="L41" s="1">
        <v>28</v>
      </c>
      <c r="N41" s="1">
        <v>26</v>
      </c>
      <c r="O41" s="1" t="s">
        <v>82</v>
      </c>
      <c r="P41" s="1" t="s">
        <v>83</v>
      </c>
      <c r="Q41" s="1" t="s">
        <v>84</v>
      </c>
      <c r="T41" s="9">
        <v>3</v>
      </c>
      <c r="U41" s="1" t="s">
        <v>191</v>
      </c>
      <c r="V41" s="1" t="s">
        <v>188</v>
      </c>
    </row>
    <row r="42" spans="1:22" x14ac:dyDescent="0.25">
      <c r="A42" s="9">
        <v>50000000</v>
      </c>
      <c r="B42" s="1">
        <v>50330000</v>
      </c>
      <c r="C42" s="1">
        <v>50330100</v>
      </c>
      <c r="D42" s="1">
        <v>10000007</v>
      </c>
      <c r="F42" s="1" t="s">
        <v>21</v>
      </c>
      <c r="G42" s="1" t="s">
        <v>42</v>
      </c>
      <c r="H42" s="1">
        <v>1</v>
      </c>
      <c r="I42" s="1" t="s">
        <v>43</v>
      </c>
      <c r="K42" s="1" t="s">
        <v>17</v>
      </c>
      <c r="L42" s="1">
        <v>28</v>
      </c>
      <c r="N42" s="1">
        <v>27</v>
      </c>
      <c r="O42" s="1" t="s">
        <v>85</v>
      </c>
      <c r="P42" s="1" t="s">
        <v>50</v>
      </c>
      <c r="Q42" s="1" t="s">
        <v>86</v>
      </c>
      <c r="T42" s="9">
        <v>4</v>
      </c>
      <c r="U42" s="1" t="s">
        <v>192</v>
      </c>
      <c r="V42" s="1" t="s">
        <v>188</v>
      </c>
    </row>
    <row r="43" spans="1:22" x14ac:dyDescent="0.25">
      <c r="A43" s="9">
        <v>50000000</v>
      </c>
      <c r="B43" s="1">
        <v>50340000</v>
      </c>
      <c r="C43" s="1">
        <v>50340100</v>
      </c>
      <c r="D43" s="1">
        <v>10000008</v>
      </c>
      <c r="F43" s="1" t="s">
        <v>16</v>
      </c>
      <c r="G43" s="1" t="s">
        <v>44</v>
      </c>
      <c r="H43" s="1">
        <v>1</v>
      </c>
      <c r="I43" s="1" t="s">
        <v>45</v>
      </c>
      <c r="K43" s="1" t="s">
        <v>18</v>
      </c>
      <c r="L43" s="1">
        <v>28</v>
      </c>
      <c r="N43" s="1">
        <v>28</v>
      </c>
      <c r="O43" s="1" t="s">
        <v>87</v>
      </c>
      <c r="P43" s="1" t="s">
        <v>88</v>
      </c>
      <c r="Q43" s="1" t="s">
        <v>89</v>
      </c>
      <c r="T43" s="9">
        <v>5</v>
      </c>
      <c r="U43" s="1" t="s">
        <v>193</v>
      </c>
      <c r="V43" s="1" t="s">
        <v>188</v>
      </c>
    </row>
    <row r="44" spans="1:22" x14ac:dyDescent="0.25">
      <c r="A44" s="9">
        <v>50000000</v>
      </c>
      <c r="B44" s="1">
        <v>50120000</v>
      </c>
      <c r="C44" s="1">
        <v>50121900</v>
      </c>
      <c r="D44" s="1">
        <v>10000016</v>
      </c>
      <c r="F44" s="1" t="s">
        <v>17</v>
      </c>
      <c r="G44" s="1" t="s">
        <v>46</v>
      </c>
      <c r="H44" s="1">
        <v>1</v>
      </c>
      <c r="I44" s="1" t="s">
        <v>47</v>
      </c>
      <c r="K44" s="1" t="s">
        <v>19</v>
      </c>
      <c r="L44" s="1">
        <v>28</v>
      </c>
      <c r="N44" s="1">
        <v>29</v>
      </c>
      <c r="O44" s="1" t="s">
        <v>90</v>
      </c>
      <c r="P44" s="1" t="s">
        <v>91</v>
      </c>
      <c r="Q44" s="1" t="s">
        <v>92</v>
      </c>
      <c r="T44" s="9">
        <v>7</v>
      </c>
      <c r="U44" s="1" t="s">
        <v>194</v>
      </c>
      <c r="V44" s="1" t="s">
        <v>188</v>
      </c>
    </row>
    <row r="45" spans="1:22" x14ac:dyDescent="0.25">
      <c r="A45" s="9">
        <v>50000000</v>
      </c>
      <c r="B45" s="1">
        <v>50120000</v>
      </c>
      <c r="C45" s="1">
        <v>50121900</v>
      </c>
      <c r="D45" s="1">
        <v>10000017</v>
      </c>
      <c r="F45" s="1" t="s">
        <v>26</v>
      </c>
      <c r="G45" s="1" t="s">
        <v>48</v>
      </c>
      <c r="H45" s="1">
        <v>1</v>
      </c>
      <c r="I45" s="1" t="s">
        <v>36</v>
      </c>
      <c r="K45" s="1" t="s">
        <v>20</v>
      </c>
      <c r="L45" s="1">
        <v>29</v>
      </c>
      <c r="N45" s="1">
        <v>30</v>
      </c>
      <c r="O45" s="1" t="s">
        <v>35</v>
      </c>
      <c r="P45" s="1" t="s">
        <v>36</v>
      </c>
      <c r="Q45" s="1" t="s">
        <v>93</v>
      </c>
      <c r="T45" s="9">
        <v>8</v>
      </c>
      <c r="U45" s="1" t="s">
        <v>195</v>
      </c>
      <c r="V45" s="1" t="s">
        <v>188</v>
      </c>
    </row>
    <row r="46" spans="1:22" x14ac:dyDescent="0.25">
      <c r="A46" s="9">
        <v>50000000</v>
      </c>
      <c r="B46" s="1">
        <v>50120000</v>
      </c>
      <c r="C46" s="1">
        <v>50121900</v>
      </c>
      <c r="D46" s="1">
        <v>10000018</v>
      </c>
      <c r="F46" s="1" t="s">
        <v>13</v>
      </c>
      <c r="G46" s="1" t="s">
        <v>49</v>
      </c>
      <c r="H46" s="1">
        <v>2</v>
      </c>
      <c r="I46" s="1" t="s">
        <v>50</v>
      </c>
      <c r="K46" s="1" t="s">
        <v>21</v>
      </c>
      <c r="L46" s="1">
        <v>29</v>
      </c>
      <c r="N46" s="1">
        <v>31</v>
      </c>
      <c r="O46" s="1" t="s">
        <v>94</v>
      </c>
      <c r="P46" s="1" t="s">
        <v>95</v>
      </c>
      <c r="Q46" s="1" t="s">
        <v>96</v>
      </c>
      <c r="T46" s="9">
        <v>9</v>
      </c>
      <c r="U46" s="1" t="s">
        <v>196</v>
      </c>
      <c r="V46" s="1" t="s">
        <v>188</v>
      </c>
    </row>
    <row r="47" spans="1:22" x14ac:dyDescent="0.25">
      <c r="A47" s="9">
        <v>50000000</v>
      </c>
      <c r="B47" s="1">
        <v>50120000</v>
      </c>
      <c r="C47" s="1">
        <v>50121700</v>
      </c>
      <c r="D47" s="1">
        <v>10000019</v>
      </c>
      <c r="F47" s="1" t="s">
        <v>27</v>
      </c>
      <c r="G47" s="1" t="s">
        <v>51</v>
      </c>
      <c r="H47" s="1">
        <v>1</v>
      </c>
      <c r="I47" s="1" t="s">
        <v>36</v>
      </c>
      <c r="K47" s="1" t="s">
        <v>22</v>
      </c>
      <c r="L47" s="1">
        <v>29</v>
      </c>
      <c r="N47" s="1">
        <v>32</v>
      </c>
      <c r="O47" s="1" t="s">
        <v>97</v>
      </c>
      <c r="P47" s="1" t="s">
        <v>98</v>
      </c>
      <c r="Q47" s="1"/>
      <c r="T47" s="9">
        <v>10</v>
      </c>
      <c r="U47" s="1" t="s">
        <v>197</v>
      </c>
      <c r="V47" s="1" t="s">
        <v>188</v>
      </c>
    </row>
    <row r="48" spans="1:22" x14ac:dyDescent="0.25">
      <c r="A48" s="9">
        <v>50000000</v>
      </c>
      <c r="B48" s="1">
        <v>50120000</v>
      </c>
      <c r="C48" s="1">
        <v>50121700</v>
      </c>
      <c r="D48" s="1">
        <v>10000020</v>
      </c>
      <c r="F48" s="1" t="s">
        <v>18</v>
      </c>
      <c r="G48" s="1" t="s">
        <v>52</v>
      </c>
      <c r="H48" s="1">
        <v>1</v>
      </c>
      <c r="I48" s="1" t="s">
        <v>53</v>
      </c>
      <c r="K48" s="1" t="s">
        <v>23</v>
      </c>
      <c r="L48" s="1">
        <v>30</v>
      </c>
      <c r="T48" s="9">
        <v>11</v>
      </c>
      <c r="U48" s="1" t="s">
        <v>198</v>
      </c>
      <c r="V48" s="1" t="s">
        <v>188</v>
      </c>
    </row>
    <row r="49" spans="1:23" x14ac:dyDescent="0.25">
      <c r="A49" s="9">
        <v>50000000</v>
      </c>
      <c r="B49" s="1">
        <v>50120000</v>
      </c>
      <c r="C49" s="1">
        <v>50121700</v>
      </c>
      <c r="D49" s="1">
        <v>10000021</v>
      </c>
      <c r="F49" s="1" t="s">
        <v>14</v>
      </c>
      <c r="G49" s="1" t="s">
        <v>54</v>
      </c>
      <c r="H49" s="1">
        <v>1</v>
      </c>
      <c r="I49" s="1" t="s">
        <v>55</v>
      </c>
      <c r="K49" s="1" t="s">
        <v>24</v>
      </c>
      <c r="L49" s="1">
        <v>30</v>
      </c>
      <c r="T49" s="9">
        <v>13</v>
      </c>
      <c r="U49" s="1" t="s">
        <v>199</v>
      </c>
      <c r="V49" s="1" t="s">
        <v>188</v>
      </c>
    </row>
    <row r="50" spans="1:23" x14ac:dyDescent="0.25">
      <c r="A50" s="9">
        <v>50000000</v>
      </c>
      <c r="B50" s="1">
        <v>50130000</v>
      </c>
      <c r="C50" s="1">
        <v>50131700</v>
      </c>
      <c r="D50" s="1">
        <v>10000025</v>
      </c>
      <c r="F50" s="1" t="s">
        <v>28</v>
      </c>
      <c r="G50" s="1" t="s">
        <v>56</v>
      </c>
      <c r="H50" s="1">
        <v>1</v>
      </c>
      <c r="I50" s="1" t="s">
        <v>36</v>
      </c>
      <c r="K50" s="1" t="s">
        <v>25</v>
      </c>
      <c r="L50" s="1">
        <v>30</v>
      </c>
      <c r="T50" s="9">
        <v>14</v>
      </c>
      <c r="U50" s="1" t="s">
        <v>200</v>
      </c>
      <c r="V50" s="1" t="s">
        <v>188</v>
      </c>
    </row>
    <row r="51" spans="1:23" x14ac:dyDescent="0.25">
      <c r="A51" s="9">
        <v>50000000</v>
      </c>
      <c r="B51" s="1">
        <v>50130000</v>
      </c>
      <c r="C51" s="1">
        <v>50131700</v>
      </c>
      <c r="D51" s="1">
        <v>10000026</v>
      </c>
      <c r="F51" s="1" t="s">
        <v>19</v>
      </c>
      <c r="G51" s="1" t="s">
        <v>57</v>
      </c>
      <c r="H51" s="1">
        <v>1</v>
      </c>
      <c r="I51" s="1" t="s">
        <v>58</v>
      </c>
      <c r="K51" s="1" t="s">
        <v>26</v>
      </c>
      <c r="L51" s="1">
        <v>30</v>
      </c>
      <c r="T51" s="9">
        <v>99</v>
      </c>
      <c r="U51" s="1" t="s">
        <v>201</v>
      </c>
      <c r="V51" s="1" t="s">
        <v>188</v>
      </c>
    </row>
    <row r="52" spans="1:23" x14ac:dyDescent="0.25">
      <c r="A52" s="9">
        <v>50000000</v>
      </c>
      <c r="B52" s="1">
        <v>50130000</v>
      </c>
      <c r="C52" s="1">
        <v>50131700</v>
      </c>
      <c r="D52" s="1">
        <v>10000027</v>
      </c>
      <c r="F52" s="1" t="s">
        <v>29</v>
      </c>
      <c r="G52" s="1" t="s">
        <v>59</v>
      </c>
      <c r="H52" s="1">
        <v>1</v>
      </c>
      <c r="I52" s="1" t="s">
        <v>36</v>
      </c>
      <c r="K52" s="1" t="s">
        <v>27</v>
      </c>
      <c r="L52" s="1">
        <v>30</v>
      </c>
      <c r="T52" s="9">
        <v>100</v>
      </c>
      <c r="U52" s="1" t="s">
        <v>202</v>
      </c>
      <c r="V52" s="1" t="s">
        <v>203</v>
      </c>
    </row>
    <row r="53" spans="1:23" x14ac:dyDescent="0.25">
      <c r="F53" s="1" t="s">
        <v>22</v>
      </c>
      <c r="G53" s="1" t="s">
        <v>60</v>
      </c>
      <c r="H53" s="1">
        <v>1</v>
      </c>
      <c r="I53" s="1" t="s">
        <v>39</v>
      </c>
      <c r="K53" s="1" t="s">
        <v>28</v>
      </c>
      <c r="L53" s="1">
        <v>30</v>
      </c>
      <c r="T53" s="9">
        <v>101</v>
      </c>
      <c r="U53" s="1" t="s">
        <v>204</v>
      </c>
      <c r="V53" s="1" t="s">
        <v>203</v>
      </c>
    </row>
    <row r="54" spans="1:23" x14ac:dyDescent="0.25">
      <c r="F54" s="1" t="s">
        <v>30</v>
      </c>
      <c r="G54" s="1" t="s">
        <v>61</v>
      </c>
      <c r="H54" s="1">
        <v>1</v>
      </c>
      <c r="I54" s="1" t="s">
        <v>36</v>
      </c>
      <c r="K54" s="1" t="s">
        <v>29</v>
      </c>
      <c r="L54" s="1">
        <v>30</v>
      </c>
    </row>
    <row r="55" spans="1:23" x14ac:dyDescent="0.25">
      <c r="F55" s="1" t="s">
        <v>15</v>
      </c>
      <c r="G55" s="1" t="s">
        <v>62</v>
      </c>
      <c r="H55" s="1">
        <v>1</v>
      </c>
      <c r="I55" s="1" t="s">
        <v>50</v>
      </c>
      <c r="K55" s="1" t="s">
        <v>30</v>
      </c>
      <c r="L55" s="1">
        <v>30</v>
      </c>
    </row>
    <row r="56" spans="1:23" x14ac:dyDescent="0.25">
      <c r="F56" s="1" t="s">
        <v>31</v>
      </c>
      <c r="G56" s="1" t="s">
        <v>63</v>
      </c>
      <c r="H56" s="1">
        <v>1</v>
      </c>
      <c r="I56" s="1" t="s">
        <v>36</v>
      </c>
      <c r="K56" s="1" t="s">
        <v>31</v>
      </c>
      <c r="L56" s="1">
        <v>30</v>
      </c>
    </row>
    <row r="58" spans="1:23" x14ac:dyDescent="0.25">
      <c r="A58" s="1" t="s">
        <v>7</v>
      </c>
      <c r="B58" s="20" t="s">
        <v>104</v>
      </c>
    </row>
    <row r="59" spans="1:23" ht="30" x14ac:dyDescent="0.25">
      <c r="A59" s="1" t="s">
        <v>396</v>
      </c>
      <c r="B59" s="31" t="str">
        <f>VLOOKUP(B58,$B$3:$D$18,3)</f>
        <v>listing all GCP and the corresponding GLN</v>
      </c>
    </row>
    <row r="60" spans="1:23" x14ac:dyDescent="0.25">
      <c r="A60" s="1" t="s">
        <v>383</v>
      </c>
      <c r="B60" s="1" t="str">
        <f>+VLOOKUP(B58,$K$3:$N$18,4,FALSE)</f>
        <v xml:space="preserve">GCP_CD , </v>
      </c>
    </row>
    <row r="61" spans="1:23" x14ac:dyDescent="0.25">
      <c r="A61" s="1" t="s">
        <v>113</v>
      </c>
      <c r="B61" s="21">
        <f>VLOOKUP(B58,$B$3:$C$18,2,)</f>
        <v>1549550</v>
      </c>
    </row>
    <row r="62" spans="1:23" x14ac:dyDescent="0.25">
      <c r="A62" s="24" t="s">
        <v>117</v>
      </c>
      <c r="B62" s="3" t="s">
        <v>118</v>
      </c>
      <c r="C62" s="3" t="s">
        <v>119</v>
      </c>
      <c r="D62" s="3" t="s">
        <v>120</v>
      </c>
      <c r="E62" s="3" t="s">
        <v>121</v>
      </c>
      <c r="F62" s="3" t="s">
        <v>122</v>
      </c>
      <c r="G62" s="3" t="s">
        <v>123</v>
      </c>
      <c r="H62" s="3" t="s">
        <v>124</v>
      </c>
      <c r="I62" s="3" t="s">
        <v>125</v>
      </c>
      <c r="J62" s="3" t="s">
        <v>126</v>
      </c>
      <c r="K62" s="3" t="s">
        <v>127</v>
      </c>
      <c r="L62" s="3" t="s">
        <v>128</v>
      </c>
      <c r="M62" s="3" t="s">
        <v>129</v>
      </c>
      <c r="N62" s="3" t="s">
        <v>130</v>
      </c>
      <c r="O62" s="3" t="s">
        <v>131</v>
      </c>
      <c r="P62" s="3" t="s">
        <v>132</v>
      </c>
      <c r="Q62" s="3" t="s">
        <v>133</v>
      </c>
      <c r="R62" s="3" t="s">
        <v>134</v>
      </c>
      <c r="S62" s="3" t="s">
        <v>135</v>
      </c>
      <c r="T62" s="3" t="s">
        <v>136</v>
      </c>
      <c r="U62" s="3" t="s">
        <v>137</v>
      </c>
      <c r="V62" s="3" t="s">
        <v>138</v>
      </c>
      <c r="W62" s="3" t="s">
        <v>139</v>
      </c>
    </row>
    <row r="63" spans="1:23" x14ac:dyDescent="0.25">
      <c r="A63" s="1">
        <v>45654</v>
      </c>
      <c r="B63" s="2">
        <v>45654000006</v>
      </c>
      <c r="C63" s="1" t="s">
        <v>140</v>
      </c>
      <c r="D63" s="1" t="s">
        <v>141</v>
      </c>
      <c r="E63" s="1"/>
      <c r="F63" s="1" t="s">
        <v>142</v>
      </c>
      <c r="G63" s="1">
        <v>61111</v>
      </c>
      <c r="H63" s="1" t="s">
        <v>143</v>
      </c>
      <c r="I63" s="1" t="s">
        <v>144</v>
      </c>
      <c r="J63" s="1"/>
      <c r="K63" s="1"/>
      <c r="L63" s="1"/>
      <c r="M63" s="1"/>
      <c r="N63" s="1"/>
      <c r="O63" s="1"/>
      <c r="P63" s="1"/>
      <c r="Q63" s="1"/>
      <c r="R63" s="1">
        <v>45654000006</v>
      </c>
      <c r="S63" s="1">
        <v>45654</v>
      </c>
      <c r="T63" s="1"/>
      <c r="U63" s="1">
        <v>0</v>
      </c>
      <c r="V63" s="1" t="s">
        <v>145</v>
      </c>
      <c r="W63" s="8">
        <v>41538</v>
      </c>
    </row>
    <row r="64" spans="1:23" x14ac:dyDescent="0.25">
      <c r="A64" s="1">
        <v>85147</v>
      </c>
      <c r="B64" s="2">
        <v>85147000007</v>
      </c>
      <c r="C64" s="1" t="s">
        <v>146</v>
      </c>
      <c r="D64" s="1" t="s">
        <v>147</v>
      </c>
      <c r="E64" s="1"/>
      <c r="F64" s="1" t="s">
        <v>142</v>
      </c>
      <c r="G64" s="1" t="s">
        <v>148</v>
      </c>
      <c r="H64" s="1" t="s">
        <v>143</v>
      </c>
      <c r="I64" s="1" t="s">
        <v>144</v>
      </c>
      <c r="J64" s="1"/>
      <c r="K64" s="1"/>
      <c r="L64" s="1"/>
      <c r="M64" s="1"/>
      <c r="N64" s="1"/>
      <c r="O64" s="1"/>
      <c r="P64" s="1"/>
      <c r="Q64" s="1"/>
      <c r="R64" s="1">
        <v>85147000007</v>
      </c>
      <c r="S64" s="1">
        <v>85147</v>
      </c>
      <c r="T64" s="1"/>
      <c r="U64" s="1">
        <v>0</v>
      </c>
      <c r="V64" s="1" t="s">
        <v>145</v>
      </c>
      <c r="W64" s="8">
        <v>41541</v>
      </c>
    </row>
    <row r="65" spans="1:28" x14ac:dyDescent="0.25">
      <c r="A65" s="1">
        <v>774728</v>
      </c>
      <c r="B65" s="2">
        <v>58200000016</v>
      </c>
      <c r="C65" s="1" t="s">
        <v>149</v>
      </c>
      <c r="D65" s="1" t="s">
        <v>150</v>
      </c>
      <c r="E65" s="1" t="s">
        <v>151</v>
      </c>
      <c r="F65" s="1"/>
      <c r="G65" s="1" t="s">
        <v>152</v>
      </c>
      <c r="H65" s="1" t="s">
        <v>153</v>
      </c>
      <c r="I65" s="1" t="s">
        <v>154</v>
      </c>
      <c r="J65" s="1"/>
      <c r="K65" s="1"/>
      <c r="L65" s="1"/>
      <c r="M65" s="1"/>
      <c r="N65" s="1"/>
      <c r="O65" s="1"/>
      <c r="P65" s="1"/>
      <c r="Q65" s="1">
        <v>58200000016</v>
      </c>
      <c r="R65" s="1">
        <v>774728000009</v>
      </c>
      <c r="S65" s="1">
        <v>774728</v>
      </c>
      <c r="T65" s="1"/>
      <c r="U65" s="1">
        <v>0</v>
      </c>
      <c r="V65" s="1" t="s">
        <v>145</v>
      </c>
      <c r="W65" s="8">
        <v>41605</v>
      </c>
    </row>
    <row r="66" spans="1:28" x14ac:dyDescent="0.25">
      <c r="A66" s="1">
        <v>83229600</v>
      </c>
      <c r="B66" s="2">
        <v>832296000002</v>
      </c>
      <c r="C66" s="1" t="s">
        <v>155</v>
      </c>
      <c r="D66" s="1" t="s">
        <v>156</v>
      </c>
      <c r="E66" s="1"/>
      <c r="F66" s="1" t="s">
        <v>154</v>
      </c>
      <c r="G66" s="1">
        <v>93065</v>
      </c>
      <c r="H66" s="1" t="s">
        <v>157</v>
      </c>
      <c r="I66" s="1" t="s">
        <v>144</v>
      </c>
      <c r="J66" s="1"/>
      <c r="K66" s="1" t="s">
        <v>158</v>
      </c>
      <c r="L66" s="1" t="s">
        <v>159</v>
      </c>
      <c r="M66" s="1"/>
      <c r="N66" s="1"/>
      <c r="O66" s="1"/>
      <c r="P66" s="1"/>
      <c r="Q66" s="1"/>
      <c r="R66" s="1">
        <v>832296000002</v>
      </c>
      <c r="S66" s="1">
        <v>83229600</v>
      </c>
      <c r="T66" s="1"/>
      <c r="U66" s="1">
        <v>0</v>
      </c>
      <c r="V66" s="1" t="s">
        <v>145</v>
      </c>
      <c r="W66" s="8">
        <v>41568</v>
      </c>
    </row>
    <row r="67" spans="1:28" x14ac:dyDescent="0.25">
      <c r="A67" s="1">
        <v>460706432</v>
      </c>
      <c r="B67" s="2">
        <v>4607064329991</v>
      </c>
      <c r="C67" s="1" t="s">
        <v>160</v>
      </c>
      <c r="D67" s="1">
        <v>3</v>
      </c>
      <c r="E67" s="1"/>
      <c r="F67" s="1"/>
      <c r="G67" s="1">
        <v>94033</v>
      </c>
      <c r="H67" s="1" t="s">
        <v>161</v>
      </c>
      <c r="I67" s="1" t="s">
        <v>162</v>
      </c>
      <c r="J67" s="1" t="s">
        <v>163</v>
      </c>
      <c r="K67" s="1" t="s">
        <v>164</v>
      </c>
      <c r="L67" s="1"/>
      <c r="M67" s="1">
        <v>74956631365</v>
      </c>
      <c r="N67" s="1" t="s">
        <v>165</v>
      </c>
      <c r="O67" s="1" t="s">
        <v>166</v>
      </c>
      <c r="P67" s="8">
        <v>41599</v>
      </c>
      <c r="Q67" s="1">
        <v>4600001999998</v>
      </c>
      <c r="R67" s="1">
        <v>4607064324354</v>
      </c>
      <c r="S67" s="1">
        <v>460706432</v>
      </c>
      <c r="T67" s="1"/>
      <c r="U67" s="1">
        <v>0</v>
      </c>
      <c r="V67" s="1" t="s">
        <v>145</v>
      </c>
      <c r="W67" s="8">
        <v>41603</v>
      </c>
    </row>
    <row r="68" spans="1:28" x14ac:dyDescent="0.25">
      <c r="A68" s="1">
        <v>75010080</v>
      </c>
      <c r="B68" s="2">
        <v>7504000885009</v>
      </c>
      <c r="C68" s="1" t="s">
        <v>167</v>
      </c>
      <c r="D68" s="1" t="s">
        <v>168</v>
      </c>
      <c r="E68" s="1" t="s">
        <v>169</v>
      </c>
      <c r="F68" s="1" t="s">
        <v>170</v>
      </c>
      <c r="G68" s="1">
        <v>76135</v>
      </c>
      <c r="H68" s="1" t="s">
        <v>171</v>
      </c>
      <c r="I68" s="1" t="s">
        <v>172</v>
      </c>
      <c r="J68" s="1"/>
      <c r="K68" s="1"/>
      <c r="L68" s="1"/>
      <c r="M68" s="1"/>
      <c r="N68" s="1"/>
      <c r="O68" s="1" t="s">
        <v>173</v>
      </c>
      <c r="P68" s="8">
        <v>39520</v>
      </c>
      <c r="Q68" s="1">
        <v>7502000000002</v>
      </c>
      <c r="R68" s="1">
        <v>7501008007358</v>
      </c>
      <c r="S68" s="1">
        <v>75010080</v>
      </c>
      <c r="T68" s="1"/>
      <c r="U68" s="1">
        <v>0</v>
      </c>
      <c r="V68" s="1" t="s">
        <v>145</v>
      </c>
      <c r="W68" s="8">
        <v>41620</v>
      </c>
    </row>
    <row r="69" spans="1:28" x14ac:dyDescent="0.25">
      <c r="A69" s="1">
        <v>7591057</v>
      </c>
      <c r="B69" s="2">
        <v>7591057000004</v>
      </c>
      <c r="C69" s="1" t="s">
        <v>174</v>
      </c>
      <c r="D69" s="1" t="s">
        <v>175</v>
      </c>
      <c r="E69" s="1"/>
      <c r="F69" s="1"/>
      <c r="G69" s="1">
        <v>2101</v>
      </c>
      <c r="H69" s="1" t="s">
        <v>176</v>
      </c>
      <c r="I69" s="1" t="s">
        <v>177</v>
      </c>
      <c r="J69" s="1" t="s">
        <v>178</v>
      </c>
      <c r="K69" s="1" t="s">
        <v>179</v>
      </c>
      <c r="L69" s="1"/>
      <c r="M69" s="1" t="s">
        <v>180</v>
      </c>
      <c r="N69" s="1" t="s">
        <v>181</v>
      </c>
      <c r="O69" s="1"/>
      <c r="P69" s="8">
        <v>37459</v>
      </c>
      <c r="Q69" s="1">
        <v>9501101020023</v>
      </c>
      <c r="R69" s="1">
        <v>7591057017026</v>
      </c>
      <c r="S69" s="1">
        <v>7591057</v>
      </c>
      <c r="T69" s="1"/>
      <c r="U69" s="1">
        <v>0</v>
      </c>
      <c r="V69" s="1" t="s">
        <v>145</v>
      </c>
      <c r="W69" s="8">
        <v>41620</v>
      </c>
    </row>
    <row r="70" spans="1:28" x14ac:dyDescent="0.25">
      <c r="C70" s="7"/>
      <c r="D70" s="7"/>
      <c r="E70" s="7"/>
    </row>
    <row r="71" spans="1:28" x14ac:dyDescent="0.25">
      <c r="A71" s="1" t="s">
        <v>7</v>
      </c>
      <c r="B71" s="20" t="s">
        <v>110</v>
      </c>
      <c r="C71" s="7"/>
      <c r="D71" s="7"/>
      <c r="E71" s="7"/>
      <c r="Z71" s="4"/>
      <c r="AA71" s="4"/>
      <c r="AB71" s="4"/>
    </row>
    <row r="72" spans="1:28" s="32" customFormat="1" ht="30" x14ac:dyDescent="0.25">
      <c r="A72" s="30" t="s">
        <v>396</v>
      </c>
      <c r="B72" s="31" t="str">
        <f>VLOOKUP(B71,$B$3:$D$18,3)</f>
        <v>contains all items identified by GTIN-13 code</v>
      </c>
      <c r="C72" s="7"/>
      <c r="D72" s="7"/>
      <c r="E72" s="7"/>
      <c r="Z72" s="33"/>
      <c r="AA72" s="33"/>
      <c r="AB72" s="33"/>
    </row>
    <row r="73" spans="1:28" x14ac:dyDescent="0.25">
      <c r="A73" s="1" t="s">
        <v>383</v>
      </c>
      <c r="B73" s="1" t="str">
        <f>+VLOOKUP(B71,$K$3:$N$18,4,FALSE)</f>
        <v xml:space="preserve">GTIN_CD , </v>
      </c>
      <c r="C73" s="7"/>
      <c r="D73" s="7"/>
      <c r="E73" s="7"/>
      <c r="Z73" s="4"/>
      <c r="AA73" s="4"/>
      <c r="AB73" s="4"/>
    </row>
    <row r="74" spans="1:28" x14ac:dyDescent="0.25">
      <c r="A74" s="1" t="s">
        <v>113</v>
      </c>
      <c r="B74" s="21">
        <f>VLOOKUP(B71,$B$3:$C$18,2,)</f>
        <v>844270</v>
      </c>
      <c r="C74" s="7"/>
      <c r="D74" s="7"/>
      <c r="E74" s="7"/>
      <c r="W74" s="1" t="s">
        <v>7</v>
      </c>
      <c r="X74" s="1" t="s">
        <v>112</v>
      </c>
      <c r="Z74" s="4"/>
      <c r="AA74" s="4"/>
      <c r="AB74" s="4"/>
    </row>
    <row r="75" spans="1:28" x14ac:dyDescent="0.25">
      <c r="A75" s="24" t="s">
        <v>8</v>
      </c>
      <c r="B75" s="3" t="s">
        <v>235</v>
      </c>
      <c r="C75" s="10" t="s">
        <v>117</v>
      </c>
      <c r="D75" s="10" t="s">
        <v>11</v>
      </c>
      <c r="E75" s="10" t="s">
        <v>228</v>
      </c>
      <c r="F75" s="3" t="s">
        <v>229</v>
      </c>
      <c r="G75" s="3" t="s">
        <v>230</v>
      </c>
      <c r="H75" s="3" t="s">
        <v>231</v>
      </c>
      <c r="I75" s="3" t="s">
        <v>236</v>
      </c>
      <c r="J75" s="3" t="s">
        <v>237</v>
      </c>
      <c r="K75" s="3" t="s">
        <v>238</v>
      </c>
      <c r="L75" s="3" t="s">
        <v>239</v>
      </c>
      <c r="M75" s="3" t="s">
        <v>240</v>
      </c>
      <c r="N75" s="3" t="s">
        <v>241</v>
      </c>
      <c r="O75" s="3" t="s">
        <v>242</v>
      </c>
      <c r="P75" s="3" t="s">
        <v>243</v>
      </c>
      <c r="Q75" s="3" t="s">
        <v>244</v>
      </c>
      <c r="R75" s="3" t="s">
        <v>245</v>
      </c>
      <c r="S75" s="3" t="s">
        <v>246</v>
      </c>
      <c r="T75" s="3" t="s">
        <v>138</v>
      </c>
      <c r="U75" s="3" t="s">
        <v>247</v>
      </c>
      <c r="W75" s="1" t="s">
        <v>396</v>
      </c>
      <c r="X75" s="29" t="str">
        <f>VLOOKUP(X74,$B$3:$D$18,3)</f>
        <v>distinguish concepts of shape (bottle, can, jar,…) and material (glass, plastic,…)</v>
      </c>
      <c r="Z75" s="4"/>
      <c r="AA75" s="4"/>
      <c r="AB75" s="4"/>
    </row>
    <row r="76" spans="1:28" x14ac:dyDescent="0.25">
      <c r="A76" s="1">
        <v>73410000267</v>
      </c>
      <c r="B76" s="1">
        <v>1</v>
      </c>
      <c r="C76" s="9">
        <v>73410</v>
      </c>
      <c r="D76" s="9" t="s">
        <v>256</v>
      </c>
      <c r="E76" s="9">
        <v>50000000</v>
      </c>
      <c r="F76" s="1" t="s">
        <v>248</v>
      </c>
      <c r="G76" s="1" t="s">
        <v>248</v>
      </c>
      <c r="H76" s="1" t="s">
        <v>248</v>
      </c>
      <c r="I76" s="1" t="s">
        <v>257</v>
      </c>
      <c r="J76" s="1" t="s">
        <v>258</v>
      </c>
      <c r="K76" s="1">
        <v>680</v>
      </c>
      <c r="L76" s="1">
        <v>24</v>
      </c>
      <c r="M76" s="1" t="s">
        <v>248</v>
      </c>
      <c r="N76" s="1" t="s">
        <v>248</v>
      </c>
      <c r="O76" s="1" t="s">
        <v>248</v>
      </c>
      <c r="P76" s="1" t="s">
        <v>248</v>
      </c>
      <c r="Q76" s="1">
        <v>1</v>
      </c>
      <c r="R76" s="1" t="s">
        <v>248</v>
      </c>
      <c r="S76" s="1"/>
      <c r="T76" s="1" t="s">
        <v>259</v>
      </c>
      <c r="U76" s="1">
        <v>1</v>
      </c>
      <c r="W76" s="1" t="s">
        <v>383</v>
      </c>
      <c r="X76" s="1" t="str">
        <f>+VLOOKUP(X74,$K$3:$N$18,4,FALSE)</f>
        <v xml:space="preserve">pkg_type_cd , </v>
      </c>
      <c r="Z76" s="4"/>
      <c r="AA76" s="4"/>
      <c r="AB76" s="4"/>
    </row>
    <row r="77" spans="1:28" x14ac:dyDescent="0.25">
      <c r="A77" s="2">
        <v>73410001387</v>
      </c>
      <c r="B77" s="1">
        <v>1</v>
      </c>
      <c r="C77" s="9">
        <v>73410</v>
      </c>
      <c r="D77" s="9" t="s">
        <v>256</v>
      </c>
      <c r="E77" s="9">
        <v>50000000</v>
      </c>
      <c r="F77" s="1" t="s">
        <v>248</v>
      </c>
      <c r="G77" s="1" t="s">
        <v>248</v>
      </c>
      <c r="H77" s="1" t="s">
        <v>248</v>
      </c>
      <c r="I77" s="1" t="s">
        <v>260</v>
      </c>
      <c r="J77" s="1" t="s">
        <v>258</v>
      </c>
      <c r="K77" s="1">
        <v>680</v>
      </c>
      <c r="L77" s="1">
        <v>24</v>
      </c>
      <c r="M77" s="1" t="s">
        <v>248</v>
      </c>
      <c r="N77" s="1" t="s">
        <v>248</v>
      </c>
      <c r="O77" s="1" t="s">
        <v>248</v>
      </c>
      <c r="P77" s="1" t="s">
        <v>248</v>
      </c>
      <c r="Q77" s="1">
        <v>1</v>
      </c>
      <c r="R77" s="1" t="s">
        <v>248</v>
      </c>
      <c r="S77" s="1"/>
      <c r="T77" s="1" t="s">
        <v>259</v>
      </c>
      <c r="U77" s="1">
        <v>1</v>
      </c>
      <c r="W77" s="1" t="s">
        <v>113</v>
      </c>
      <c r="X77" s="22">
        <f>VLOOKUP(X74,$B$3:$C$18,2)</f>
        <v>42</v>
      </c>
      <c r="Z77" s="4"/>
      <c r="AA77" s="4"/>
      <c r="AB77" s="4"/>
    </row>
    <row r="78" spans="1:28" x14ac:dyDescent="0.25">
      <c r="A78" s="2">
        <v>73410003053</v>
      </c>
      <c r="B78" s="1">
        <v>1</v>
      </c>
      <c r="C78" s="9">
        <v>73410</v>
      </c>
      <c r="D78" s="9" t="s">
        <v>256</v>
      </c>
      <c r="E78" s="9">
        <v>50000000</v>
      </c>
      <c r="F78" s="1" t="s">
        <v>248</v>
      </c>
      <c r="G78" s="1" t="s">
        <v>248</v>
      </c>
      <c r="H78" s="1" t="s">
        <v>248</v>
      </c>
      <c r="I78" s="1" t="s">
        <v>261</v>
      </c>
      <c r="J78" s="1" t="s">
        <v>262</v>
      </c>
      <c r="K78" s="1">
        <v>680</v>
      </c>
      <c r="L78" s="1">
        <v>24</v>
      </c>
      <c r="M78" s="1" t="s">
        <v>248</v>
      </c>
      <c r="N78" s="1" t="s">
        <v>248</v>
      </c>
      <c r="O78" s="1" t="s">
        <v>248</v>
      </c>
      <c r="P78" s="1" t="s">
        <v>248</v>
      </c>
      <c r="Q78" s="1">
        <v>1</v>
      </c>
      <c r="R78" s="1" t="s">
        <v>248</v>
      </c>
      <c r="S78" s="1"/>
      <c r="T78" s="1" t="s">
        <v>259</v>
      </c>
      <c r="U78" s="1">
        <v>1</v>
      </c>
      <c r="W78" s="24" t="s">
        <v>251</v>
      </c>
      <c r="X78" s="10" t="s">
        <v>355</v>
      </c>
      <c r="Y78" s="10" t="s">
        <v>356</v>
      </c>
      <c r="Z78" s="4"/>
      <c r="AA78" s="4"/>
      <c r="AB78" s="4"/>
    </row>
    <row r="79" spans="1:28" x14ac:dyDescent="0.25">
      <c r="A79" s="2">
        <v>73410003435</v>
      </c>
      <c r="B79" s="1">
        <v>1</v>
      </c>
      <c r="C79" s="9">
        <v>73410</v>
      </c>
      <c r="D79" s="9" t="s">
        <v>256</v>
      </c>
      <c r="E79" s="9">
        <v>50000000</v>
      </c>
      <c r="F79" s="1" t="s">
        <v>248</v>
      </c>
      <c r="G79" s="1" t="s">
        <v>248</v>
      </c>
      <c r="H79" s="1" t="s">
        <v>248</v>
      </c>
      <c r="I79" s="1" t="s">
        <v>263</v>
      </c>
      <c r="J79" s="1" t="s">
        <v>262</v>
      </c>
      <c r="K79" s="1">
        <v>680</v>
      </c>
      <c r="L79" s="1">
        <v>24</v>
      </c>
      <c r="M79" s="1" t="s">
        <v>248</v>
      </c>
      <c r="N79" s="1" t="s">
        <v>248</v>
      </c>
      <c r="O79" s="1" t="s">
        <v>248</v>
      </c>
      <c r="P79" s="1" t="s">
        <v>248</v>
      </c>
      <c r="Q79" s="1">
        <v>1</v>
      </c>
      <c r="R79" s="1" t="s">
        <v>248</v>
      </c>
      <c r="S79" s="1"/>
      <c r="T79" s="1" t="s">
        <v>259</v>
      </c>
      <c r="U79" s="1">
        <v>1</v>
      </c>
      <c r="W79" s="1">
        <v>1</v>
      </c>
      <c r="X79" s="9" t="s">
        <v>357</v>
      </c>
      <c r="Y79" s="9" t="s">
        <v>358</v>
      </c>
      <c r="Z79" s="4"/>
      <c r="AA79" s="4"/>
      <c r="AB79" s="4"/>
    </row>
    <row r="80" spans="1:28" ht="30" x14ac:dyDescent="0.25">
      <c r="A80" s="1">
        <v>73410003558</v>
      </c>
      <c r="B80" s="1">
        <v>1</v>
      </c>
      <c r="C80" s="9">
        <v>73410</v>
      </c>
      <c r="D80" s="9" t="s">
        <v>256</v>
      </c>
      <c r="E80" s="9">
        <v>50000000</v>
      </c>
      <c r="F80" s="1" t="s">
        <v>248</v>
      </c>
      <c r="G80" s="1" t="s">
        <v>248</v>
      </c>
      <c r="H80" s="1" t="s">
        <v>248</v>
      </c>
      <c r="I80" s="1" t="s">
        <v>264</v>
      </c>
      <c r="J80" s="1" t="s">
        <v>262</v>
      </c>
      <c r="K80" s="1">
        <v>680</v>
      </c>
      <c r="L80" s="1">
        <v>24</v>
      </c>
      <c r="M80" s="1" t="s">
        <v>248</v>
      </c>
      <c r="N80" s="1" t="s">
        <v>248</v>
      </c>
      <c r="O80" s="1" t="s">
        <v>248</v>
      </c>
      <c r="P80" s="1" t="s">
        <v>248</v>
      </c>
      <c r="Q80" s="1">
        <v>1</v>
      </c>
      <c r="R80" s="1" t="s">
        <v>248</v>
      </c>
      <c r="S80" s="1"/>
      <c r="T80" s="1" t="s">
        <v>259</v>
      </c>
      <c r="U80" s="1">
        <v>1</v>
      </c>
      <c r="W80" s="1">
        <v>2</v>
      </c>
      <c r="X80" s="9" t="s">
        <v>359</v>
      </c>
      <c r="Y80" s="9" t="s">
        <v>360</v>
      </c>
      <c r="Z80" s="4"/>
      <c r="AA80" s="4"/>
      <c r="AB80" s="4"/>
    </row>
    <row r="81" spans="1:28" x14ac:dyDescent="0.25">
      <c r="A81" s="1">
        <v>73410005002</v>
      </c>
      <c r="B81" s="1">
        <v>1</v>
      </c>
      <c r="C81" s="9">
        <v>73410</v>
      </c>
      <c r="D81" s="9" t="s">
        <v>256</v>
      </c>
      <c r="E81" s="9">
        <v>50000000</v>
      </c>
      <c r="F81" s="1" t="s">
        <v>248</v>
      </c>
      <c r="G81" s="1" t="s">
        <v>248</v>
      </c>
      <c r="H81" s="1" t="s">
        <v>248</v>
      </c>
      <c r="I81" s="1" t="s">
        <v>265</v>
      </c>
      <c r="J81" s="1" t="s">
        <v>266</v>
      </c>
      <c r="K81" s="1" t="s">
        <v>248</v>
      </c>
      <c r="L81" s="1">
        <v>32</v>
      </c>
      <c r="M81" s="1" t="s">
        <v>248</v>
      </c>
      <c r="N81" s="1" t="s">
        <v>248</v>
      </c>
      <c r="O81" s="1" t="s">
        <v>248</v>
      </c>
      <c r="P81" s="1" t="s">
        <v>248</v>
      </c>
      <c r="Q81" s="1">
        <v>1</v>
      </c>
      <c r="R81" s="1" t="s">
        <v>248</v>
      </c>
      <c r="S81" s="1"/>
      <c r="T81" s="1" t="s">
        <v>259</v>
      </c>
      <c r="U81" s="1">
        <v>1</v>
      </c>
      <c r="W81" s="1">
        <v>3</v>
      </c>
      <c r="X81" s="9" t="s">
        <v>361</v>
      </c>
      <c r="Y81" s="9" t="s">
        <v>362</v>
      </c>
      <c r="Z81" s="4"/>
      <c r="AA81" s="4"/>
      <c r="AB81" s="4"/>
    </row>
    <row r="82" spans="1:28" x14ac:dyDescent="0.25">
      <c r="A82" s="1">
        <v>73410012604</v>
      </c>
      <c r="B82" s="1">
        <v>1</v>
      </c>
      <c r="C82" s="9">
        <v>73410</v>
      </c>
      <c r="D82" s="9" t="s">
        <v>256</v>
      </c>
      <c r="E82" s="9">
        <v>50000000</v>
      </c>
      <c r="F82" s="1" t="s">
        <v>248</v>
      </c>
      <c r="G82" s="1" t="s">
        <v>248</v>
      </c>
      <c r="H82" s="1" t="s">
        <v>248</v>
      </c>
      <c r="I82" s="1" t="s">
        <v>267</v>
      </c>
      <c r="J82" s="1" t="s">
        <v>268</v>
      </c>
      <c r="K82" s="1">
        <v>454</v>
      </c>
      <c r="L82" s="1">
        <v>16</v>
      </c>
      <c r="M82" s="1" t="s">
        <v>248</v>
      </c>
      <c r="N82" s="1" t="s">
        <v>248</v>
      </c>
      <c r="O82" s="1" t="s">
        <v>248</v>
      </c>
      <c r="P82" s="1" t="s">
        <v>248</v>
      </c>
      <c r="Q82" s="1">
        <v>1</v>
      </c>
      <c r="R82" s="1" t="s">
        <v>248</v>
      </c>
      <c r="S82" s="1"/>
      <c r="T82" s="1" t="s">
        <v>259</v>
      </c>
      <c r="U82" s="1">
        <v>1</v>
      </c>
      <c r="W82" s="1">
        <v>4</v>
      </c>
      <c r="X82" s="9" t="s">
        <v>363</v>
      </c>
      <c r="Y82" s="9" t="s">
        <v>364</v>
      </c>
      <c r="Z82" s="4"/>
      <c r="AA82" s="4"/>
      <c r="AB82" s="4"/>
    </row>
    <row r="83" spans="1:28" x14ac:dyDescent="0.25">
      <c r="A83" s="1">
        <v>73410013090</v>
      </c>
      <c r="B83" s="1">
        <v>1</v>
      </c>
      <c r="C83" s="9">
        <v>73410</v>
      </c>
      <c r="D83" s="9" t="s">
        <v>256</v>
      </c>
      <c r="E83" s="9">
        <v>50000000</v>
      </c>
      <c r="F83" s="1" t="s">
        <v>248</v>
      </c>
      <c r="G83" s="1" t="s">
        <v>248</v>
      </c>
      <c r="H83" s="1" t="s">
        <v>248</v>
      </c>
      <c r="I83" s="1" t="s">
        <v>269</v>
      </c>
      <c r="J83" s="1" t="s">
        <v>258</v>
      </c>
      <c r="K83" s="1">
        <v>680</v>
      </c>
      <c r="L83" s="1">
        <v>24</v>
      </c>
      <c r="M83" s="1" t="s">
        <v>248</v>
      </c>
      <c r="N83" s="1" t="s">
        <v>248</v>
      </c>
      <c r="O83" s="1" t="s">
        <v>248</v>
      </c>
      <c r="P83" s="1" t="s">
        <v>248</v>
      </c>
      <c r="Q83" s="1">
        <v>1</v>
      </c>
      <c r="R83" s="1" t="s">
        <v>248</v>
      </c>
      <c r="S83" s="1"/>
      <c r="T83" s="1" t="s">
        <v>259</v>
      </c>
      <c r="U83" s="1">
        <v>1</v>
      </c>
      <c r="W83" s="1">
        <v>5</v>
      </c>
      <c r="X83" s="9" t="s">
        <v>365</v>
      </c>
      <c r="Y83" s="9" t="s">
        <v>366</v>
      </c>
      <c r="Z83" s="4"/>
      <c r="AA83" s="4"/>
      <c r="AB83" s="4"/>
    </row>
    <row r="84" spans="1:28" x14ac:dyDescent="0.25">
      <c r="A84" s="1">
        <v>73410013502</v>
      </c>
      <c r="B84" s="1">
        <v>1</v>
      </c>
      <c r="C84" s="9">
        <v>73410</v>
      </c>
      <c r="D84" s="9" t="s">
        <v>256</v>
      </c>
      <c r="E84" s="9">
        <v>50000000</v>
      </c>
      <c r="F84" s="1" t="s">
        <v>248</v>
      </c>
      <c r="G84" s="1" t="s">
        <v>248</v>
      </c>
      <c r="H84" s="1" t="s">
        <v>248</v>
      </c>
      <c r="I84" s="1" t="s">
        <v>270</v>
      </c>
      <c r="J84" s="1" t="s">
        <v>271</v>
      </c>
      <c r="K84" s="1">
        <v>680</v>
      </c>
      <c r="L84" s="1">
        <v>24</v>
      </c>
      <c r="M84" s="1" t="s">
        <v>248</v>
      </c>
      <c r="N84" s="1" t="s">
        <v>248</v>
      </c>
      <c r="O84" s="1" t="s">
        <v>248</v>
      </c>
      <c r="P84" s="1" t="s">
        <v>248</v>
      </c>
      <c r="Q84" s="1">
        <v>1</v>
      </c>
      <c r="R84" s="1" t="s">
        <v>248</v>
      </c>
      <c r="S84" s="1"/>
      <c r="T84" s="1" t="s">
        <v>259</v>
      </c>
      <c r="U84" s="1">
        <v>1</v>
      </c>
      <c r="W84" s="1">
        <v>6</v>
      </c>
      <c r="X84" s="9" t="s">
        <v>367</v>
      </c>
      <c r="Y84" s="9" t="s">
        <v>368</v>
      </c>
      <c r="Z84" s="4"/>
      <c r="AA84" s="4"/>
      <c r="AB84" s="4"/>
    </row>
    <row r="85" spans="1:28" ht="30" x14ac:dyDescent="0.25">
      <c r="A85" s="1">
        <v>73410013519</v>
      </c>
      <c r="B85" s="1">
        <v>1</v>
      </c>
      <c r="C85" s="9">
        <v>73410</v>
      </c>
      <c r="D85" s="9" t="s">
        <v>256</v>
      </c>
      <c r="E85" s="9">
        <v>50000000</v>
      </c>
      <c r="F85" s="1" t="s">
        <v>248</v>
      </c>
      <c r="G85" s="1" t="s">
        <v>248</v>
      </c>
      <c r="H85" s="1" t="s">
        <v>248</v>
      </c>
      <c r="I85" s="1" t="s">
        <v>272</v>
      </c>
      <c r="J85" s="1" t="s">
        <v>271</v>
      </c>
      <c r="K85" s="1">
        <v>680</v>
      </c>
      <c r="L85" s="1">
        <v>24</v>
      </c>
      <c r="M85" s="1" t="s">
        <v>248</v>
      </c>
      <c r="N85" s="1" t="s">
        <v>248</v>
      </c>
      <c r="O85" s="1" t="s">
        <v>248</v>
      </c>
      <c r="P85" s="1" t="s">
        <v>248</v>
      </c>
      <c r="Q85" s="1">
        <v>1</v>
      </c>
      <c r="R85" s="1" t="s">
        <v>248</v>
      </c>
      <c r="S85" s="1"/>
      <c r="T85" s="1" t="s">
        <v>259</v>
      </c>
      <c r="U85" s="1">
        <v>1</v>
      </c>
      <c r="W85" s="1">
        <v>7</v>
      </c>
      <c r="X85" s="9" t="s">
        <v>369</v>
      </c>
      <c r="Y85" s="9" t="s">
        <v>370</v>
      </c>
      <c r="Z85" s="4"/>
      <c r="AA85" s="4"/>
      <c r="AB85" s="4"/>
    </row>
    <row r="86" spans="1:28" x14ac:dyDescent="0.25">
      <c r="A86" s="1">
        <v>73410013540</v>
      </c>
      <c r="B86" s="1">
        <v>1</v>
      </c>
      <c r="C86" s="9">
        <v>73410</v>
      </c>
      <c r="D86" s="9" t="s">
        <v>256</v>
      </c>
      <c r="E86" s="9">
        <v>50000000</v>
      </c>
      <c r="F86" s="1" t="s">
        <v>248</v>
      </c>
      <c r="G86" s="1" t="s">
        <v>248</v>
      </c>
      <c r="H86" s="1" t="s">
        <v>248</v>
      </c>
      <c r="I86" s="1" t="s">
        <v>273</v>
      </c>
      <c r="J86" s="1" t="s">
        <v>271</v>
      </c>
      <c r="K86" s="1">
        <v>680</v>
      </c>
      <c r="L86" s="1">
        <v>24</v>
      </c>
      <c r="M86" s="1" t="s">
        <v>248</v>
      </c>
      <c r="N86" s="1" t="s">
        <v>248</v>
      </c>
      <c r="O86" s="1" t="s">
        <v>248</v>
      </c>
      <c r="P86" s="1" t="s">
        <v>248</v>
      </c>
      <c r="Q86" s="1">
        <v>1</v>
      </c>
      <c r="R86" s="1" t="s">
        <v>248</v>
      </c>
      <c r="S86" s="1"/>
      <c r="T86" s="1" t="s">
        <v>259</v>
      </c>
      <c r="U86" s="1">
        <v>1</v>
      </c>
      <c r="W86" s="1">
        <v>8</v>
      </c>
      <c r="X86" s="9" t="s">
        <v>371</v>
      </c>
      <c r="Y86" s="9" t="s">
        <v>372</v>
      </c>
      <c r="Z86" s="4"/>
      <c r="AA86" s="4"/>
      <c r="AB86" s="4"/>
    </row>
    <row r="87" spans="1:28" x14ac:dyDescent="0.25">
      <c r="A87" s="1">
        <v>73410013557</v>
      </c>
      <c r="B87" s="1">
        <v>1</v>
      </c>
      <c r="C87" s="9">
        <v>73410</v>
      </c>
      <c r="D87" s="9" t="s">
        <v>256</v>
      </c>
      <c r="E87" s="9">
        <v>50000000</v>
      </c>
      <c r="F87" s="1" t="s">
        <v>248</v>
      </c>
      <c r="G87" s="1" t="s">
        <v>248</v>
      </c>
      <c r="H87" s="1" t="s">
        <v>248</v>
      </c>
      <c r="I87" s="1" t="s">
        <v>274</v>
      </c>
      <c r="J87" s="1" t="s">
        <v>258</v>
      </c>
      <c r="K87" s="1">
        <v>680</v>
      </c>
      <c r="L87" s="1">
        <v>24</v>
      </c>
      <c r="M87" s="1" t="s">
        <v>248</v>
      </c>
      <c r="N87" s="1" t="s">
        <v>248</v>
      </c>
      <c r="O87" s="1" t="s">
        <v>248</v>
      </c>
      <c r="P87" s="1" t="s">
        <v>248</v>
      </c>
      <c r="Q87" s="1">
        <v>1</v>
      </c>
      <c r="R87" s="1" t="s">
        <v>248</v>
      </c>
      <c r="S87" s="1"/>
      <c r="T87" s="1" t="s">
        <v>259</v>
      </c>
      <c r="U87" s="1">
        <v>1</v>
      </c>
      <c r="W87" s="1">
        <v>9</v>
      </c>
      <c r="X87" s="9" t="s">
        <v>373</v>
      </c>
      <c r="Y87" s="9"/>
      <c r="Z87" s="4"/>
      <c r="AA87" s="4"/>
      <c r="AB87" s="4"/>
    </row>
    <row r="88" spans="1:28" x14ac:dyDescent="0.25">
      <c r="A88" s="1">
        <v>73410013656</v>
      </c>
      <c r="B88" s="1">
        <v>1</v>
      </c>
      <c r="C88" s="9">
        <v>73410</v>
      </c>
      <c r="D88" s="9" t="s">
        <v>256</v>
      </c>
      <c r="E88" s="9">
        <v>50000000</v>
      </c>
      <c r="F88" s="1" t="s">
        <v>248</v>
      </c>
      <c r="G88" s="1" t="s">
        <v>248</v>
      </c>
      <c r="H88" s="1" t="s">
        <v>248</v>
      </c>
      <c r="I88" s="1" t="s">
        <v>275</v>
      </c>
      <c r="J88" s="1" t="s">
        <v>258</v>
      </c>
      <c r="K88" s="1">
        <v>680</v>
      </c>
      <c r="L88" s="1">
        <v>24</v>
      </c>
      <c r="M88" s="1" t="s">
        <v>248</v>
      </c>
      <c r="N88" s="1" t="s">
        <v>248</v>
      </c>
      <c r="O88" s="1" t="s">
        <v>248</v>
      </c>
      <c r="P88" s="1" t="s">
        <v>248</v>
      </c>
      <c r="Q88" s="1">
        <v>1</v>
      </c>
      <c r="R88" s="1" t="s">
        <v>248</v>
      </c>
      <c r="S88" s="1"/>
      <c r="T88" s="1" t="s">
        <v>259</v>
      </c>
      <c r="U88" s="1">
        <v>1</v>
      </c>
      <c r="W88" s="1">
        <v>10</v>
      </c>
      <c r="X88" s="9" t="s">
        <v>374</v>
      </c>
      <c r="Y88" s="9"/>
      <c r="Z88" s="4"/>
      <c r="AA88" s="4"/>
      <c r="AB88" s="4"/>
    </row>
    <row r="89" spans="1:28" x14ac:dyDescent="0.25">
      <c r="A89" s="1">
        <v>73410013748</v>
      </c>
      <c r="B89" s="1">
        <v>1</v>
      </c>
      <c r="C89" s="9">
        <v>73410</v>
      </c>
      <c r="D89" s="9" t="s">
        <v>256</v>
      </c>
      <c r="E89" s="9">
        <v>50000000</v>
      </c>
      <c r="F89" s="1" t="s">
        <v>248</v>
      </c>
      <c r="G89" s="1" t="s">
        <v>248</v>
      </c>
      <c r="H89" s="1" t="s">
        <v>248</v>
      </c>
      <c r="I89" s="1" t="s">
        <v>276</v>
      </c>
      <c r="J89" s="1" t="s">
        <v>258</v>
      </c>
      <c r="K89" s="1">
        <v>680</v>
      </c>
      <c r="L89" s="1">
        <v>24</v>
      </c>
      <c r="M89" s="1" t="s">
        <v>248</v>
      </c>
      <c r="N89" s="1" t="s">
        <v>248</v>
      </c>
      <c r="O89" s="1" t="s">
        <v>248</v>
      </c>
      <c r="P89" s="1" t="s">
        <v>248</v>
      </c>
      <c r="Q89" s="1">
        <v>1</v>
      </c>
      <c r="R89" s="1" t="s">
        <v>248</v>
      </c>
      <c r="S89" s="1"/>
      <c r="T89" s="1" t="s">
        <v>259</v>
      </c>
      <c r="U89" s="1">
        <v>1</v>
      </c>
      <c r="W89" s="1">
        <v>11</v>
      </c>
      <c r="X89" s="9" t="s">
        <v>375</v>
      </c>
      <c r="Y89" s="9"/>
      <c r="Z89" s="4"/>
      <c r="AA89" s="4"/>
      <c r="AB89" s="4"/>
    </row>
    <row r="90" spans="1:28" x14ac:dyDescent="0.25">
      <c r="A90" s="1">
        <v>73410013755</v>
      </c>
      <c r="B90" s="1">
        <v>1</v>
      </c>
      <c r="C90" s="9">
        <v>73410</v>
      </c>
      <c r="D90" s="9" t="s">
        <v>256</v>
      </c>
      <c r="E90" s="9">
        <v>50000000</v>
      </c>
      <c r="F90" s="1" t="s">
        <v>248</v>
      </c>
      <c r="G90" s="1" t="s">
        <v>248</v>
      </c>
      <c r="H90" s="1" t="s">
        <v>248</v>
      </c>
      <c r="I90" s="1" t="s">
        <v>270</v>
      </c>
      <c r="J90" s="1" t="s">
        <v>258</v>
      </c>
      <c r="K90" s="1">
        <v>680</v>
      </c>
      <c r="L90" s="1">
        <v>24</v>
      </c>
      <c r="M90" s="1" t="s">
        <v>248</v>
      </c>
      <c r="N90" s="1" t="s">
        <v>248</v>
      </c>
      <c r="O90" s="1" t="s">
        <v>248</v>
      </c>
      <c r="P90" s="1" t="s">
        <v>248</v>
      </c>
      <c r="Q90" s="1">
        <v>1</v>
      </c>
      <c r="R90" s="1" t="s">
        <v>248</v>
      </c>
      <c r="S90" s="1"/>
      <c r="T90" s="1" t="s">
        <v>259</v>
      </c>
      <c r="U90" s="1">
        <v>1</v>
      </c>
      <c r="W90" s="1">
        <v>12</v>
      </c>
      <c r="X90" s="9" t="s">
        <v>376</v>
      </c>
      <c r="Y90" s="9"/>
      <c r="Z90" s="4"/>
      <c r="AA90" s="4"/>
      <c r="AB90" s="4"/>
    </row>
    <row r="91" spans="1:28" x14ac:dyDescent="0.25">
      <c r="A91" s="1">
        <v>73410013854</v>
      </c>
      <c r="B91" s="1">
        <v>1</v>
      </c>
      <c r="C91" s="9">
        <v>73410</v>
      </c>
      <c r="D91" s="9" t="s">
        <v>256</v>
      </c>
      <c r="E91" s="9">
        <v>50000000</v>
      </c>
      <c r="F91" s="1" t="s">
        <v>248</v>
      </c>
      <c r="G91" s="1" t="s">
        <v>248</v>
      </c>
      <c r="H91" s="1" t="s">
        <v>248</v>
      </c>
      <c r="I91" s="1" t="s">
        <v>277</v>
      </c>
      <c r="J91" s="1" t="s">
        <v>258</v>
      </c>
      <c r="K91" s="1">
        <v>680</v>
      </c>
      <c r="L91" s="1">
        <v>24</v>
      </c>
      <c r="M91" s="1" t="s">
        <v>248</v>
      </c>
      <c r="N91" s="1" t="s">
        <v>248</v>
      </c>
      <c r="O91" s="1" t="s">
        <v>248</v>
      </c>
      <c r="P91" s="1" t="s">
        <v>248</v>
      </c>
      <c r="Q91" s="1">
        <v>1</v>
      </c>
      <c r="R91" s="1" t="s">
        <v>248</v>
      </c>
      <c r="S91" s="1"/>
      <c r="T91" s="1" t="s">
        <v>259</v>
      </c>
      <c r="U91" s="1">
        <v>1</v>
      </c>
      <c r="W91" s="1">
        <v>13</v>
      </c>
      <c r="X91" s="9" t="s">
        <v>377</v>
      </c>
      <c r="Y91" s="9"/>
      <c r="Z91" s="4"/>
      <c r="AA91" s="4"/>
      <c r="AB91" s="4"/>
    </row>
    <row r="92" spans="1:28" x14ac:dyDescent="0.25">
      <c r="A92" s="1">
        <v>73410022504</v>
      </c>
      <c r="B92" s="1">
        <v>1</v>
      </c>
      <c r="C92" s="9">
        <v>73410</v>
      </c>
      <c r="D92" s="9" t="s">
        <v>256</v>
      </c>
      <c r="E92" s="9">
        <v>50000000</v>
      </c>
      <c r="F92" s="1" t="s">
        <v>248</v>
      </c>
      <c r="G92" s="1" t="s">
        <v>248</v>
      </c>
      <c r="H92" s="1" t="s">
        <v>248</v>
      </c>
      <c r="I92" s="1" t="s">
        <v>278</v>
      </c>
      <c r="J92" s="1" t="s">
        <v>266</v>
      </c>
      <c r="K92" s="1">
        <v>454</v>
      </c>
      <c r="L92" s="1">
        <v>16</v>
      </c>
      <c r="M92" s="1" t="s">
        <v>248</v>
      </c>
      <c r="N92" s="1" t="s">
        <v>248</v>
      </c>
      <c r="O92" s="1" t="s">
        <v>248</v>
      </c>
      <c r="P92" s="1" t="s">
        <v>248</v>
      </c>
      <c r="Q92" s="1">
        <v>1</v>
      </c>
      <c r="R92" s="1" t="s">
        <v>248</v>
      </c>
      <c r="S92" s="1"/>
      <c r="T92" s="1" t="s">
        <v>259</v>
      </c>
      <c r="U92" s="1">
        <v>1</v>
      </c>
      <c r="W92" s="1">
        <v>14</v>
      </c>
      <c r="X92" s="9" t="s">
        <v>378</v>
      </c>
      <c r="Y92" s="9"/>
      <c r="Z92" s="4"/>
      <c r="AA92" s="4"/>
      <c r="AB92" s="4"/>
    </row>
    <row r="93" spans="1:28" x14ac:dyDescent="0.25">
      <c r="A93" s="1">
        <v>73410025505</v>
      </c>
      <c r="B93" s="1">
        <v>1</v>
      </c>
      <c r="C93" s="9">
        <v>73410</v>
      </c>
      <c r="D93" s="9" t="s">
        <v>256</v>
      </c>
      <c r="E93" s="9">
        <v>50000000</v>
      </c>
      <c r="F93" s="1" t="s">
        <v>248</v>
      </c>
      <c r="G93" s="1" t="s">
        <v>248</v>
      </c>
      <c r="H93" s="1" t="s">
        <v>248</v>
      </c>
      <c r="I93" s="1" t="s">
        <v>279</v>
      </c>
      <c r="J93" s="1" t="s">
        <v>280</v>
      </c>
      <c r="K93" s="1">
        <v>624</v>
      </c>
      <c r="L93" s="1">
        <v>22</v>
      </c>
      <c r="M93" s="1" t="s">
        <v>248</v>
      </c>
      <c r="N93" s="1" t="s">
        <v>248</v>
      </c>
      <c r="O93" s="1" t="s">
        <v>248</v>
      </c>
      <c r="P93" s="1" t="s">
        <v>248</v>
      </c>
      <c r="Q93" s="1">
        <v>1</v>
      </c>
      <c r="R93" s="1" t="s">
        <v>248</v>
      </c>
      <c r="S93" s="1"/>
      <c r="T93" s="1" t="s">
        <v>259</v>
      </c>
      <c r="U93" s="1">
        <v>1</v>
      </c>
      <c r="W93" s="1">
        <v>15</v>
      </c>
      <c r="X93" s="1" t="s">
        <v>379</v>
      </c>
      <c r="Y93" s="1"/>
      <c r="Z93" s="4"/>
      <c r="AA93" s="4"/>
      <c r="AB93" s="4"/>
    </row>
    <row r="94" spans="1:28" x14ac:dyDescent="0.25">
      <c r="A94" s="1">
        <v>73410025529</v>
      </c>
      <c r="B94" s="1">
        <v>1</v>
      </c>
      <c r="C94" s="9">
        <v>73410</v>
      </c>
      <c r="D94" s="9" t="s">
        <v>256</v>
      </c>
      <c r="E94" s="9">
        <v>50000000</v>
      </c>
      <c r="F94" s="1" t="s">
        <v>248</v>
      </c>
      <c r="G94" s="1" t="s">
        <v>248</v>
      </c>
      <c r="H94" s="1" t="s">
        <v>248</v>
      </c>
      <c r="I94" s="1" t="s">
        <v>281</v>
      </c>
      <c r="J94" s="1" t="s">
        <v>280</v>
      </c>
      <c r="K94" s="1">
        <v>624</v>
      </c>
      <c r="L94" s="1">
        <v>22</v>
      </c>
      <c r="M94" s="1" t="s">
        <v>248</v>
      </c>
      <c r="N94" s="1" t="s">
        <v>248</v>
      </c>
      <c r="O94" s="1" t="s">
        <v>248</v>
      </c>
      <c r="P94" s="1" t="s">
        <v>248</v>
      </c>
      <c r="Q94" s="1">
        <v>1</v>
      </c>
      <c r="R94" s="1" t="s">
        <v>248</v>
      </c>
      <c r="S94" s="1"/>
      <c r="T94" s="1" t="s">
        <v>259</v>
      </c>
      <c r="U94" s="1">
        <v>1</v>
      </c>
      <c r="W94" s="1">
        <v>16</v>
      </c>
      <c r="X94" s="1" t="s">
        <v>380</v>
      </c>
      <c r="Y94" s="1"/>
    </row>
    <row r="95" spans="1:28" x14ac:dyDescent="0.25">
      <c r="A95" s="1">
        <v>73410025543</v>
      </c>
      <c r="B95" s="1">
        <v>1</v>
      </c>
      <c r="C95" s="9">
        <v>73410</v>
      </c>
      <c r="D95" s="9" t="s">
        <v>256</v>
      </c>
      <c r="E95" s="9">
        <v>50000000</v>
      </c>
      <c r="F95" s="1" t="s">
        <v>248</v>
      </c>
      <c r="G95" s="1" t="s">
        <v>248</v>
      </c>
      <c r="H95" s="1" t="s">
        <v>248</v>
      </c>
      <c r="I95" s="1" t="s">
        <v>282</v>
      </c>
      <c r="J95" s="1" t="s">
        <v>280</v>
      </c>
      <c r="K95" s="1">
        <v>624</v>
      </c>
      <c r="L95" s="1">
        <v>22</v>
      </c>
      <c r="M95" s="1" t="s">
        <v>248</v>
      </c>
      <c r="N95" s="1" t="s">
        <v>248</v>
      </c>
      <c r="O95" s="1" t="s">
        <v>248</v>
      </c>
      <c r="P95" s="1" t="s">
        <v>248</v>
      </c>
      <c r="Q95" s="1">
        <v>1</v>
      </c>
      <c r="R95" s="1" t="s">
        <v>248</v>
      </c>
      <c r="S95" s="1"/>
      <c r="T95" s="1" t="s">
        <v>259</v>
      </c>
      <c r="U95" s="1">
        <v>1</v>
      </c>
      <c r="W95" s="1">
        <v>17</v>
      </c>
      <c r="X95" s="1" t="s">
        <v>381</v>
      </c>
      <c r="Y95" s="1"/>
    </row>
    <row r="96" spans="1:28" x14ac:dyDescent="0.25">
      <c r="A96" s="4"/>
      <c r="B96" s="4"/>
      <c r="C96" s="18"/>
      <c r="D96" s="18"/>
      <c r="E96" s="18"/>
      <c r="F96" s="4"/>
      <c r="G96" s="4"/>
      <c r="H96" s="4"/>
      <c r="I96" s="4"/>
      <c r="J96" s="4"/>
      <c r="K96" s="4"/>
      <c r="L96" s="4"/>
      <c r="M96" s="4"/>
      <c r="N96" s="4"/>
      <c r="O96" s="4"/>
      <c r="P96" s="4"/>
      <c r="Q96" s="4"/>
      <c r="R96" s="4"/>
      <c r="S96" s="4"/>
      <c r="T96" s="4"/>
      <c r="U96" s="4"/>
      <c r="W96" s="4"/>
      <c r="X96" s="4"/>
      <c r="Y96" s="4"/>
    </row>
    <row r="97" spans="2:15" x14ac:dyDescent="0.25">
      <c r="B97" s="1" t="s">
        <v>7</v>
      </c>
      <c r="C97" s="20" t="s">
        <v>107</v>
      </c>
      <c r="D97" s="7"/>
      <c r="E97" s="7"/>
      <c r="F97" s="7"/>
      <c r="H97" s="7"/>
      <c r="I97" s="1" t="s">
        <v>7</v>
      </c>
      <c r="J97" s="20" t="s">
        <v>109</v>
      </c>
      <c r="M97" s="1" t="s">
        <v>7</v>
      </c>
      <c r="N97" s="20" t="s">
        <v>105</v>
      </c>
    </row>
    <row r="98" spans="2:15" ht="75" x14ac:dyDescent="0.25">
      <c r="B98" s="30" t="s">
        <v>396</v>
      </c>
      <c r="C98" s="31" t="str">
        <f>VLOOKUP(C97,$B$3:$D$18,3)</f>
        <v>contains all label of GPC classification codes in several langages</v>
      </c>
      <c r="D98" s="7"/>
      <c r="E98" s="7"/>
      <c r="F98" s="7"/>
      <c r="G98" s="32"/>
      <c r="H98" s="7"/>
      <c r="I98" s="30" t="s">
        <v>396</v>
      </c>
      <c r="J98" s="31" t="str">
        <f>VLOOKUP(J97,$B$3:$D$18,3)</f>
        <v>List of 3 first possible digits with the corresponding GS1 registration office and country</v>
      </c>
      <c r="K98" s="32"/>
      <c r="M98" s="30" t="s">
        <v>396</v>
      </c>
      <c r="N98" s="31" t="str">
        <f>VLOOKUP(N97,$B$3:$D$18,3)</f>
        <v>defines length of GTIN code, varies by country</v>
      </c>
      <c r="O98" s="32"/>
    </row>
    <row r="99" spans="2:15" x14ac:dyDescent="0.25">
      <c r="B99" s="1" t="s">
        <v>383</v>
      </c>
      <c r="C99" s="1" t="str">
        <f>+VLOOKUP(C97,$K$3:$N$18,4,FALSE)</f>
        <v>GPC_LANG , GPC_CD</v>
      </c>
      <c r="I99" s="1" t="s">
        <v>383</v>
      </c>
      <c r="J99" s="1" t="str">
        <f>+VLOOKUP(J97,$K$3:$N$18,4,FALSE)</f>
        <v xml:space="preserve">PREFIX_CD , </v>
      </c>
      <c r="M99" s="1" t="s">
        <v>383</v>
      </c>
      <c r="N99" s="1" t="str">
        <f>+VLOOKUP(N97,$K$3:$N$18,4,FALSE)</f>
        <v>prefix_cd , gcp_length</v>
      </c>
    </row>
    <row r="100" spans="2:15" s="32" customFormat="1" x14ac:dyDescent="0.25">
      <c r="B100" s="1" t="s">
        <v>113</v>
      </c>
      <c r="C100" s="21">
        <f>VLOOKUP(C97,$B$3:$C$18,2,)</f>
        <v>38760</v>
      </c>
      <c r="D100"/>
      <c r="E100"/>
      <c r="F100"/>
      <c r="G100"/>
      <c r="I100" s="1" t="s">
        <v>113</v>
      </c>
      <c r="J100" s="21">
        <f>VLOOKUP(J97,$B$3:$C$18,2,)</f>
        <v>1000</v>
      </c>
      <c r="K100"/>
      <c r="M100" s="1" t="s">
        <v>113</v>
      </c>
      <c r="N100" s="22">
        <f>VLOOKUP(N97,$B$3:$C$18,2)</f>
        <v>264</v>
      </c>
      <c r="O100"/>
    </row>
    <row r="101" spans="2:15" x14ac:dyDescent="0.25">
      <c r="B101" s="24" t="s">
        <v>205</v>
      </c>
      <c r="C101" s="24" t="s">
        <v>206</v>
      </c>
      <c r="D101" s="3" t="s">
        <v>207</v>
      </c>
      <c r="E101" s="3" t="s">
        <v>208</v>
      </c>
      <c r="F101" s="3" t="s">
        <v>138</v>
      </c>
      <c r="I101" s="24" t="s">
        <v>232</v>
      </c>
      <c r="J101" s="3" t="s">
        <v>233</v>
      </c>
      <c r="K101" s="3" t="s">
        <v>234</v>
      </c>
      <c r="M101" s="24" t="s">
        <v>182</v>
      </c>
      <c r="N101" s="25" t="s">
        <v>183</v>
      </c>
      <c r="O101" s="10" t="s">
        <v>184</v>
      </c>
    </row>
    <row r="102" spans="2:15" x14ac:dyDescent="0.25">
      <c r="B102" s="1" t="s">
        <v>209</v>
      </c>
      <c r="C102" s="1">
        <v>10000000</v>
      </c>
      <c r="D102" s="1" t="s">
        <v>210</v>
      </c>
      <c r="E102" s="1" t="s">
        <v>211</v>
      </c>
      <c r="F102" s="1" t="s">
        <v>212</v>
      </c>
      <c r="I102" s="9">
        <v>801</v>
      </c>
      <c r="J102" s="9" t="s">
        <v>398</v>
      </c>
      <c r="K102" s="9" t="s">
        <v>399</v>
      </c>
      <c r="M102" s="1">
        <v>800</v>
      </c>
      <c r="N102" s="9">
        <v>7</v>
      </c>
      <c r="O102" s="9">
        <v>10000</v>
      </c>
    </row>
    <row r="103" spans="2:15" x14ac:dyDescent="0.25">
      <c r="B103" s="1" t="s">
        <v>209</v>
      </c>
      <c r="C103" s="1">
        <v>10000002</v>
      </c>
      <c r="D103" s="1" t="s">
        <v>213</v>
      </c>
      <c r="E103" s="1" t="s">
        <v>214</v>
      </c>
      <c r="F103" s="1" t="s">
        <v>212</v>
      </c>
      <c r="I103" s="9">
        <v>802</v>
      </c>
      <c r="J103" s="9" t="s">
        <v>398</v>
      </c>
      <c r="K103" s="9" t="s">
        <v>399</v>
      </c>
      <c r="M103" s="1">
        <v>801</v>
      </c>
      <c r="N103" s="9">
        <v>7</v>
      </c>
      <c r="O103" s="9">
        <v>10000</v>
      </c>
    </row>
    <row r="104" spans="2:15" x14ac:dyDescent="0.25">
      <c r="B104" s="1" t="s">
        <v>209</v>
      </c>
      <c r="C104" s="1">
        <v>10000003</v>
      </c>
      <c r="D104" s="1" t="s">
        <v>215</v>
      </c>
      <c r="E104" s="1" t="s">
        <v>214</v>
      </c>
      <c r="F104" s="1" t="s">
        <v>212</v>
      </c>
      <c r="I104" s="9">
        <v>803</v>
      </c>
      <c r="J104" s="9" t="s">
        <v>398</v>
      </c>
      <c r="K104" s="9" t="s">
        <v>399</v>
      </c>
      <c r="M104" s="1">
        <v>802</v>
      </c>
      <c r="N104" s="9">
        <v>7</v>
      </c>
      <c r="O104" s="9">
        <v>10000</v>
      </c>
    </row>
    <row r="105" spans="2:15" x14ac:dyDescent="0.25">
      <c r="B105" s="1" t="s">
        <v>209</v>
      </c>
      <c r="C105" s="1">
        <v>10000005</v>
      </c>
      <c r="D105" s="1" t="s">
        <v>216</v>
      </c>
      <c r="E105" s="1" t="s">
        <v>214</v>
      </c>
      <c r="F105" s="1" t="s">
        <v>212</v>
      </c>
      <c r="I105" s="9">
        <v>804</v>
      </c>
      <c r="J105" s="9" t="s">
        <v>398</v>
      </c>
      <c r="K105" s="9" t="s">
        <v>399</v>
      </c>
      <c r="M105" s="1">
        <v>803</v>
      </c>
      <c r="N105" s="9">
        <v>7</v>
      </c>
      <c r="O105" s="9">
        <v>10000</v>
      </c>
    </row>
    <row r="106" spans="2:15" x14ac:dyDescent="0.25">
      <c r="B106" s="1" t="s">
        <v>209</v>
      </c>
      <c r="C106" s="1">
        <v>10000006</v>
      </c>
      <c r="D106" s="1" t="s">
        <v>217</v>
      </c>
      <c r="E106" s="1" t="s">
        <v>214</v>
      </c>
      <c r="F106" s="1" t="s">
        <v>212</v>
      </c>
      <c r="I106" s="9">
        <v>805</v>
      </c>
      <c r="J106" s="9" t="s">
        <v>398</v>
      </c>
      <c r="K106" s="9" t="s">
        <v>399</v>
      </c>
      <c r="M106" s="1">
        <v>804</v>
      </c>
      <c r="N106" s="9">
        <v>7</v>
      </c>
      <c r="O106" s="9">
        <v>10000</v>
      </c>
    </row>
    <row r="107" spans="2:15" x14ac:dyDescent="0.25">
      <c r="B107" s="1" t="s">
        <v>209</v>
      </c>
      <c r="C107" s="1">
        <v>10000007</v>
      </c>
      <c r="D107" s="1" t="s">
        <v>218</v>
      </c>
      <c r="E107" s="1" t="s">
        <v>214</v>
      </c>
      <c r="F107" s="1" t="s">
        <v>212</v>
      </c>
      <c r="I107" s="9">
        <v>806</v>
      </c>
      <c r="J107" s="9" t="s">
        <v>398</v>
      </c>
      <c r="K107" s="9" t="s">
        <v>399</v>
      </c>
      <c r="M107" s="1">
        <v>805</v>
      </c>
      <c r="N107" s="9">
        <v>7</v>
      </c>
      <c r="O107" s="9">
        <v>10000</v>
      </c>
    </row>
    <row r="108" spans="2:15" x14ac:dyDescent="0.25">
      <c r="B108" s="1" t="s">
        <v>209</v>
      </c>
      <c r="C108" s="1">
        <v>10000008</v>
      </c>
      <c r="D108" s="1" t="s">
        <v>219</v>
      </c>
      <c r="E108" s="1" t="s">
        <v>214</v>
      </c>
      <c r="F108" s="1" t="s">
        <v>212</v>
      </c>
      <c r="I108" s="9">
        <v>807</v>
      </c>
      <c r="J108" s="9" t="s">
        <v>398</v>
      </c>
      <c r="K108" s="9" t="s">
        <v>399</v>
      </c>
      <c r="M108" s="1">
        <v>806</v>
      </c>
      <c r="N108" s="9">
        <v>7</v>
      </c>
      <c r="O108" s="9">
        <v>10000</v>
      </c>
    </row>
    <row r="109" spans="2:15" x14ac:dyDescent="0.25">
      <c r="B109" s="1" t="s">
        <v>209</v>
      </c>
      <c r="C109" s="1">
        <v>10000016</v>
      </c>
      <c r="D109" s="1" t="s">
        <v>220</v>
      </c>
      <c r="E109" s="1" t="s">
        <v>214</v>
      </c>
      <c r="F109" s="1" t="s">
        <v>212</v>
      </c>
      <c r="I109" s="9">
        <v>808</v>
      </c>
      <c r="J109" s="9" t="s">
        <v>398</v>
      </c>
      <c r="K109" s="9" t="s">
        <v>399</v>
      </c>
      <c r="M109" s="1">
        <v>807</v>
      </c>
      <c r="N109" s="9">
        <v>6</v>
      </c>
      <c r="O109" s="9">
        <v>1000</v>
      </c>
    </row>
    <row r="110" spans="2:15" x14ac:dyDescent="0.25">
      <c r="B110" s="1" t="s">
        <v>209</v>
      </c>
      <c r="C110" s="1">
        <v>10000017</v>
      </c>
      <c r="D110" s="1" t="s">
        <v>221</v>
      </c>
      <c r="E110" s="1" t="s">
        <v>214</v>
      </c>
      <c r="F110" s="1" t="s">
        <v>212</v>
      </c>
      <c r="I110" s="9">
        <v>809</v>
      </c>
      <c r="J110" s="9" t="s">
        <v>398</v>
      </c>
      <c r="K110" s="9" t="s">
        <v>399</v>
      </c>
    </row>
    <row r="111" spans="2:15" x14ac:dyDescent="0.25">
      <c r="B111" s="1" t="s">
        <v>209</v>
      </c>
      <c r="C111" s="1">
        <v>10000018</v>
      </c>
      <c r="D111" s="1" t="s">
        <v>222</v>
      </c>
      <c r="E111" s="1" t="s">
        <v>214</v>
      </c>
      <c r="F111" s="1" t="s">
        <v>212</v>
      </c>
      <c r="I111" s="9">
        <v>810</v>
      </c>
      <c r="J111" s="9" t="s">
        <v>398</v>
      </c>
      <c r="K111" s="9" t="s">
        <v>399</v>
      </c>
    </row>
    <row r="112" spans="2:15" x14ac:dyDescent="0.25">
      <c r="B112" s="1" t="s">
        <v>209</v>
      </c>
      <c r="C112" s="1">
        <v>10000019</v>
      </c>
      <c r="D112" s="1" t="s">
        <v>223</v>
      </c>
      <c r="E112" s="1" t="s">
        <v>214</v>
      </c>
      <c r="F112" s="1" t="s">
        <v>212</v>
      </c>
    </row>
    <row r="113" spans="1:30" x14ac:dyDescent="0.25">
      <c r="B113" s="1" t="s">
        <v>209</v>
      </c>
      <c r="C113" s="1">
        <v>10000020</v>
      </c>
      <c r="D113" s="1" t="s">
        <v>224</v>
      </c>
      <c r="E113" s="1" t="s">
        <v>214</v>
      </c>
      <c r="F113" s="1" t="s">
        <v>212</v>
      </c>
    </row>
    <row r="114" spans="1:30" x14ac:dyDescent="0.25">
      <c r="B114" s="1" t="s">
        <v>209</v>
      </c>
      <c r="C114" s="1">
        <v>10000021</v>
      </c>
      <c r="D114" s="1" t="s">
        <v>225</v>
      </c>
      <c r="E114" s="1" t="s">
        <v>214</v>
      </c>
      <c r="F114" s="1" t="s">
        <v>212</v>
      </c>
      <c r="L114" s="4"/>
      <c r="M114" s="4"/>
    </row>
    <row r="115" spans="1:30" x14ac:dyDescent="0.25">
      <c r="B115" s="1" t="s">
        <v>209</v>
      </c>
      <c r="C115" s="1">
        <v>10000025</v>
      </c>
      <c r="D115" s="1" t="s">
        <v>226</v>
      </c>
      <c r="E115" s="1" t="s">
        <v>214</v>
      </c>
      <c r="F115" s="1" t="s">
        <v>212</v>
      </c>
      <c r="K115" s="4"/>
      <c r="L115" s="4"/>
      <c r="M115" s="4"/>
    </row>
    <row r="116" spans="1:30" x14ac:dyDescent="0.25">
      <c r="B116" s="1" t="s">
        <v>209</v>
      </c>
      <c r="C116" s="1">
        <v>10000026</v>
      </c>
      <c r="D116" s="1" t="s">
        <v>227</v>
      </c>
      <c r="E116" s="1" t="s">
        <v>214</v>
      </c>
      <c r="F116" s="1" t="s">
        <v>212</v>
      </c>
    </row>
    <row r="119" spans="1:30" x14ac:dyDescent="0.25">
      <c r="D119" s="4"/>
      <c r="E119" s="4"/>
      <c r="F119" s="4"/>
      <c r="G119" s="4"/>
      <c r="H119" s="4"/>
    </row>
    <row r="121" spans="1:30" x14ac:dyDescent="0.25">
      <c r="A121" s="1" t="s">
        <v>7</v>
      </c>
      <c r="B121" s="20" t="s">
        <v>111</v>
      </c>
      <c r="C121" s="7"/>
      <c r="D121" s="7"/>
      <c r="E121" s="7"/>
      <c r="W121" s="4"/>
      <c r="X121" s="4"/>
      <c r="Y121" s="4"/>
    </row>
    <row r="122" spans="1:30" s="32" customFormat="1" ht="30" x14ac:dyDescent="0.25">
      <c r="A122" s="30" t="s">
        <v>396</v>
      </c>
      <c r="B122" s="31" t="str">
        <f>VLOOKUP(B121,$B$3:$D$18,3)</f>
        <v>contains elements of the U.S. Nutrition Facts Label required by FDA</v>
      </c>
      <c r="C122" s="7"/>
      <c r="D122" s="7"/>
      <c r="E122" s="7"/>
      <c r="W122" s="33"/>
      <c r="X122" s="33"/>
      <c r="Y122" s="33"/>
    </row>
    <row r="123" spans="1:30" x14ac:dyDescent="0.25">
      <c r="A123" s="1" t="s">
        <v>383</v>
      </c>
      <c r="B123" s="1" t="str">
        <f>+VLOOKUP(B121,$K$3:$N$18,4,FALSE)</f>
        <v xml:space="preserve">GTIN_CD , </v>
      </c>
      <c r="C123" s="7"/>
      <c r="D123" s="7"/>
      <c r="E123" s="7"/>
    </row>
    <row r="124" spans="1:30" x14ac:dyDescent="0.25">
      <c r="A124" s="1" t="s">
        <v>113</v>
      </c>
      <c r="B124" s="21">
        <f>VLOOKUP(B121,$B$3:$C$18,2,)</f>
        <v>231</v>
      </c>
      <c r="C124" s="7"/>
      <c r="D124" s="7"/>
      <c r="E124" s="7"/>
    </row>
    <row r="125" spans="1:30" x14ac:dyDescent="0.25">
      <c r="A125" s="24" t="s">
        <v>8</v>
      </c>
      <c r="B125" s="3" t="s">
        <v>283</v>
      </c>
      <c r="C125" s="10" t="s">
        <v>284</v>
      </c>
      <c r="D125" s="10" t="s">
        <v>285</v>
      </c>
      <c r="E125" s="10" t="s">
        <v>286</v>
      </c>
      <c r="F125" s="3" t="s">
        <v>287</v>
      </c>
      <c r="G125" s="3" t="s">
        <v>288</v>
      </c>
      <c r="H125" s="3" t="s">
        <v>289</v>
      </c>
      <c r="I125" s="3" t="s">
        <v>290</v>
      </c>
      <c r="J125" s="3" t="s">
        <v>291</v>
      </c>
      <c r="K125" s="3" t="s">
        <v>292</v>
      </c>
      <c r="L125" s="3" t="s">
        <v>293</v>
      </c>
      <c r="M125" s="3" t="s">
        <v>294</v>
      </c>
      <c r="N125" s="3" t="s">
        <v>295</v>
      </c>
      <c r="O125" s="3" t="s">
        <v>296</v>
      </c>
      <c r="P125" s="3" t="s">
        <v>297</v>
      </c>
      <c r="Q125" s="3" t="s">
        <v>298</v>
      </c>
      <c r="R125" s="3" t="s">
        <v>299</v>
      </c>
      <c r="S125" s="3" t="s">
        <v>300</v>
      </c>
      <c r="T125" s="3" t="s">
        <v>301</v>
      </c>
      <c r="U125" s="3" t="s">
        <v>302</v>
      </c>
      <c r="V125" s="3" t="s">
        <v>303</v>
      </c>
      <c r="W125" s="3" t="s">
        <v>304</v>
      </c>
      <c r="X125" s="3" t="s">
        <v>305</v>
      </c>
      <c r="Y125" s="3" t="s">
        <v>306</v>
      </c>
      <c r="Z125" s="3" t="s">
        <v>307</v>
      </c>
      <c r="AA125" s="3" t="s">
        <v>308</v>
      </c>
      <c r="AB125" s="3" t="s">
        <v>309</v>
      </c>
      <c r="AC125" s="3" t="s">
        <v>138</v>
      </c>
      <c r="AD125" s="3" t="s">
        <v>139</v>
      </c>
    </row>
    <row r="126" spans="1:30" x14ac:dyDescent="0.25">
      <c r="A126" s="1">
        <v>73410000267</v>
      </c>
      <c r="B126" s="1" t="s">
        <v>310</v>
      </c>
      <c r="C126" s="9">
        <v>43</v>
      </c>
      <c r="D126" s="9">
        <v>0</v>
      </c>
      <c r="E126" s="9">
        <v>16</v>
      </c>
      <c r="F126" s="1">
        <v>110</v>
      </c>
      <c r="G126" s="1">
        <v>15</v>
      </c>
      <c r="H126" s="1">
        <v>1.5</v>
      </c>
      <c r="I126" s="1">
        <v>2</v>
      </c>
      <c r="J126" s="1">
        <v>0</v>
      </c>
      <c r="K126" s="1">
        <v>0</v>
      </c>
      <c r="L126" s="1">
        <v>0</v>
      </c>
      <c r="M126" s="1">
        <v>0</v>
      </c>
      <c r="N126" s="1">
        <v>0</v>
      </c>
      <c r="O126" s="1">
        <v>170</v>
      </c>
      <c r="P126" s="1">
        <v>7</v>
      </c>
      <c r="Q126" s="1">
        <v>0</v>
      </c>
      <c r="R126" s="1">
        <v>0</v>
      </c>
      <c r="S126" s="1">
        <v>21</v>
      </c>
      <c r="T126" s="1">
        <v>7</v>
      </c>
      <c r="U126" s="1">
        <v>3</v>
      </c>
      <c r="V126" s="1">
        <v>12</v>
      </c>
      <c r="W126" s="1">
        <v>3</v>
      </c>
      <c r="X126" s="1">
        <v>5</v>
      </c>
      <c r="Y126" s="1">
        <v>0</v>
      </c>
      <c r="Z126" s="1">
        <v>0</v>
      </c>
      <c r="AA126" s="1">
        <v>4</v>
      </c>
      <c r="AB126" s="1">
        <v>6</v>
      </c>
      <c r="AC126" s="1" t="s">
        <v>311</v>
      </c>
      <c r="AD126" s="8">
        <v>41557</v>
      </c>
    </row>
    <row r="127" spans="1:30" x14ac:dyDescent="0.25">
      <c r="A127" s="1">
        <v>73410001387</v>
      </c>
      <c r="B127" s="1" t="s">
        <v>312</v>
      </c>
      <c r="C127" s="9">
        <v>43</v>
      </c>
      <c r="D127" s="9">
        <v>0</v>
      </c>
      <c r="E127" s="9">
        <v>16</v>
      </c>
      <c r="F127" s="1">
        <v>110</v>
      </c>
      <c r="G127" s="1">
        <v>15</v>
      </c>
      <c r="H127" s="1">
        <v>1.5</v>
      </c>
      <c r="I127" s="1">
        <v>2</v>
      </c>
      <c r="J127" s="1">
        <v>0</v>
      </c>
      <c r="K127" s="1">
        <v>0</v>
      </c>
      <c r="L127" s="1">
        <v>0</v>
      </c>
      <c r="M127" s="1">
        <v>0</v>
      </c>
      <c r="N127" s="1">
        <v>0</v>
      </c>
      <c r="O127" s="1">
        <v>150</v>
      </c>
      <c r="P127" s="1">
        <v>6</v>
      </c>
      <c r="Q127" s="1">
        <v>0</v>
      </c>
      <c r="R127" s="1">
        <v>0</v>
      </c>
      <c r="S127" s="1">
        <v>21</v>
      </c>
      <c r="T127" s="1">
        <v>7</v>
      </c>
      <c r="U127" s="1">
        <v>3</v>
      </c>
      <c r="V127" s="1">
        <v>12</v>
      </c>
      <c r="W127" s="1">
        <v>3</v>
      </c>
      <c r="X127" s="1">
        <v>4</v>
      </c>
      <c r="Y127" s="1">
        <v>0</v>
      </c>
      <c r="Z127" s="1">
        <v>0</v>
      </c>
      <c r="AA127" s="1">
        <v>4</v>
      </c>
      <c r="AB127" s="1">
        <v>8</v>
      </c>
      <c r="AC127" s="1" t="s">
        <v>313</v>
      </c>
      <c r="AD127" s="8">
        <v>41557</v>
      </c>
    </row>
    <row r="128" spans="1:30" x14ac:dyDescent="0.25">
      <c r="A128" s="1">
        <v>73410003053</v>
      </c>
      <c r="B128" s="1" t="s">
        <v>314</v>
      </c>
      <c r="C128" s="9">
        <v>43</v>
      </c>
      <c r="D128" s="9">
        <v>0</v>
      </c>
      <c r="E128" s="9">
        <v>16</v>
      </c>
      <c r="F128" s="1">
        <v>1.5</v>
      </c>
      <c r="G128" s="1">
        <v>2</v>
      </c>
      <c r="H128" s="1">
        <v>0</v>
      </c>
      <c r="I128" s="1">
        <v>0</v>
      </c>
      <c r="J128" s="1">
        <v>0</v>
      </c>
      <c r="K128" s="1">
        <v>0</v>
      </c>
      <c r="L128" s="1">
        <v>0</v>
      </c>
      <c r="M128" s="1">
        <v>0</v>
      </c>
      <c r="N128" s="1">
        <v>0</v>
      </c>
      <c r="O128" s="1">
        <v>150</v>
      </c>
      <c r="P128" s="1">
        <v>6</v>
      </c>
      <c r="Q128" s="1">
        <v>0</v>
      </c>
      <c r="R128" s="1">
        <v>0</v>
      </c>
      <c r="S128" s="1">
        <v>22</v>
      </c>
      <c r="T128" s="1">
        <v>7</v>
      </c>
      <c r="U128" s="1">
        <v>0.99</v>
      </c>
      <c r="V128" s="1">
        <v>3</v>
      </c>
      <c r="W128" s="1">
        <v>3</v>
      </c>
      <c r="X128" s="1">
        <v>3</v>
      </c>
      <c r="Y128" s="1">
        <v>0</v>
      </c>
      <c r="Z128" s="1">
        <v>0</v>
      </c>
      <c r="AA128" s="1">
        <v>4</v>
      </c>
      <c r="AB128" s="1">
        <v>8</v>
      </c>
      <c r="AC128" s="1" t="s">
        <v>315</v>
      </c>
      <c r="AD128" s="8">
        <v>41557</v>
      </c>
    </row>
    <row r="129" spans="1:30" x14ac:dyDescent="0.25">
      <c r="A129" s="1">
        <v>73410003435</v>
      </c>
      <c r="B129" s="1" t="s">
        <v>316</v>
      </c>
      <c r="C129" s="9">
        <v>43</v>
      </c>
      <c r="D129" s="9">
        <v>0</v>
      </c>
      <c r="E129" s="9">
        <v>16</v>
      </c>
      <c r="F129" s="1">
        <v>1.5</v>
      </c>
      <c r="G129" s="1">
        <v>2</v>
      </c>
      <c r="H129" s="1">
        <v>0</v>
      </c>
      <c r="I129" s="1">
        <v>0</v>
      </c>
      <c r="J129" s="1">
        <v>0</v>
      </c>
      <c r="K129" s="1">
        <v>0</v>
      </c>
      <c r="L129" s="1">
        <v>0</v>
      </c>
      <c r="M129" s="1">
        <v>0</v>
      </c>
      <c r="N129" s="1">
        <v>0</v>
      </c>
      <c r="O129" s="1">
        <v>150</v>
      </c>
      <c r="P129" s="1">
        <v>6</v>
      </c>
      <c r="Q129" s="1">
        <v>0</v>
      </c>
      <c r="R129" s="1">
        <v>0</v>
      </c>
      <c r="S129" s="1">
        <v>21</v>
      </c>
      <c r="T129" s="1">
        <v>7</v>
      </c>
      <c r="U129" s="1">
        <v>1</v>
      </c>
      <c r="V129" s="1">
        <v>4</v>
      </c>
      <c r="W129" s="1">
        <v>0.99</v>
      </c>
      <c r="X129" s="1">
        <v>3</v>
      </c>
      <c r="Y129" s="1">
        <v>0</v>
      </c>
      <c r="Z129" s="1">
        <v>0</v>
      </c>
      <c r="AA129" s="1">
        <v>4</v>
      </c>
      <c r="AB129" s="1">
        <v>8</v>
      </c>
      <c r="AC129" s="1" t="s">
        <v>317</v>
      </c>
      <c r="AD129" s="8">
        <v>41557</v>
      </c>
    </row>
    <row r="130" spans="1:30" x14ac:dyDescent="0.25">
      <c r="A130" s="1">
        <v>73410003558</v>
      </c>
      <c r="B130" s="1" t="s">
        <v>318</v>
      </c>
      <c r="C130" s="9">
        <v>43</v>
      </c>
      <c r="D130" s="9">
        <v>0</v>
      </c>
      <c r="E130" s="9">
        <v>16</v>
      </c>
      <c r="F130" s="1">
        <v>1.5</v>
      </c>
      <c r="G130" s="1">
        <v>2</v>
      </c>
      <c r="H130" s="1">
        <v>0</v>
      </c>
      <c r="I130" s="1">
        <v>0</v>
      </c>
      <c r="J130" s="1">
        <v>0</v>
      </c>
      <c r="K130" s="1">
        <v>0</v>
      </c>
      <c r="L130" s="1">
        <v>0</v>
      </c>
      <c r="M130" s="1">
        <v>0</v>
      </c>
      <c r="N130" s="1">
        <v>0</v>
      </c>
      <c r="O130" s="1">
        <v>150</v>
      </c>
      <c r="P130" s="1">
        <v>6</v>
      </c>
      <c r="Q130" s="1">
        <v>0</v>
      </c>
      <c r="R130" s="1">
        <v>0</v>
      </c>
      <c r="S130" s="1">
        <v>21</v>
      </c>
      <c r="T130" s="1">
        <v>7</v>
      </c>
      <c r="U130" s="1">
        <v>1</v>
      </c>
      <c r="V130" s="1">
        <v>4</v>
      </c>
      <c r="W130" s="1">
        <v>3</v>
      </c>
      <c r="X130" s="1">
        <v>4</v>
      </c>
      <c r="Y130" s="1">
        <v>0</v>
      </c>
      <c r="Z130" s="1">
        <v>0</v>
      </c>
      <c r="AA130" s="1">
        <v>4</v>
      </c>
      <c r="AB130" s="1">
        <v>6</v>
      </c>
      <c r="AC130" s="1" t="s">
        <v>319</v>
      </c>
      <c r="AD130" s="8">
        <v>41557</v>
      </c>
    </row>
    <row r="131" spans="1:30" x14ac:dyDescent="0.25">
      <c r="A131" s="1">
        <v>73410005002</v>
      </c>
      <c r="B131" s="1" t="s">
        <v>320</v>
      </c>
      <c r="C131" s="9">
        <v>33</v>
      </c>
      <c r="D131" s="9">
        <v>0</v>
      </c>
      <c r="E131" s="9">
        <v>17</v>
      </c>
      <c r="F131" s="1">
        <v>90</v>
      </c>
      <c r="G131" s="1">
        <v>15</v>
      </c>
      <c r="H131" s="1">
        <v>1.5</v>
      </c>
      <c r="I131" s="1">
        <v>2</v>
      </c>
      <c r="J131" s="1">
        <v>0</v>
      </c>
      <c r="K131" s="1">
        <v>0</v>
      </c>
      <c r="L131" s="1">
        <v>0</v>
      </c>
      <c r="M131" s="1">
        <v>0</v>
      </c>
      <c r="N131" s="1">
        <v>0</v>
      </c>
      <c r="O131" s="1">
        <v>190</v>
      </c>
      <c r="P131" s="1">
        <v>8</v>
      </c>
      <c r="Q131" s="1">
        <v>0</v>
      </c>
      <c r="R131" s="1">
        <v>0</v>
      </c>
      <c r="S131" s="1">
        <v>17</v>
      </c>
      <c r="T131" s="1">
        <v>6</v>
      </c>
      <c r="U131" s="1">
        <v>0.99</v>
      </c>
      <c r="V131" s="1">
        <v>3</v>
      </c>
      <c r="W131" s="1">
        <v>3</v>
      </c>
      <c r="X131" s="1">
        <v>3</v>
      </c>
      <c r="Y131" s="1">
        <v>0</v>
      </c>
      <c r="Z131" s="1">
        <v>0</v>
      </c>
      <c r="AA131" s="1">
        <v>4</v>
      </c>
      <c r="AB131" s="1">
        <v>6</v>
      </c>
      <c r="AC131" s="1" t="s">
        <v>321</v>
      </c>
      <c r="AD131" s="8">
        <v>41558</v>
      </c>
    </row>
    <row r="132" spans="1:30" x14ac:dyDescent="0.25">
      <c r="A132" s="1">
        <v>73410012604</v>
      </c>
      <c r="B132" s="1" t="s">
        <v>322</v>
      </c>
      <c r="C132" s="9">
        <v>42</v>
      </c>
      <c r="D132" s="9">
        <v>0</v>
      </c>
      <c r="E132" s="9">
        <v>12</v>
      </c>
      <c r="F132" s="1">
        <v>80</v>
      </c>
      <c r="G132" s="1">
        <v>5</v>
      </c>
      <c r="H132" s="1">
        <v>0.5</v>
      </c>
      <c r="I132" s="1">
        <v>1</v>
      </c>
      <c r="J132" s="1">
        <v>0</v>
      </c>
      <c r="K132" s="1">
        <v>0</v>
      </c>
      <c r="L132" s="1">
        <v>0</v>
      </c>
      <c r="M132" s="1">
        <v>0</v>
      </c>
      <c r="N132" s="1">
        <v>0</v>
      </c>
      <c r="O132" s="1">
        <v>170</v>
      </c>
      <c r="P132" s="1">
        <v>7</v>
      </c>
      <c r="Q132" s="1">
        <v>0</v>
      </c>
      <c r="R132" s="1">
        <v>0</v>
      </c>
      <c r="S132" s="1">
        <v>18</v>
      </c>
      <c r="T132" s="1">
        <v>6</v>
      </c>
      <c r="U132" s="1">
        <v>5</v>
      </c>
      <c r="V132" s="1">
        <v>20</v>
      </c>
      <c r="W132" s="1">
        <v>2</v>
      </c>
      <c r="X132" s="1">
        <v>5</v>
      </c>
      <c r="Y132" s="1">
        <v>0</v>
      </c>
      <c r="Z132" s="1">
        <v>0</v>
      </c>
      <c r="AA132" s="1">
        <v>4</v>
      </c>
      <c r="AB132" s="1">
        <v>4</v>
      </c>
      <c r="AC132" s="1" t="s">
        <v>323</v>
      </c>
      <c r="AD132" s="8">
        <v>41558</v>
      </c>
    </row>
    <row r="133" spans="1:30" x14ac:dyDescent="0.25">
      <c r="A133" s="1">
        <v>73410013090</v>
      </c>
      <c r="B133" s="1" t="s">
        <v>324</v>
      </c>
      <c r="C133" s="9">
        <v>43</v>
      </c>
      <c r="D133" s="9">
        <v>0</v>
      </c>
      <c r="E133" s="9">
        <v>16</v>
      </c>
      <c r="F133" s="1">
        <v>130</v>
      </c>
      <c r="G133" s="1">
        <v>25</v>
      </c>
      <c r="H133" s="1">
        <v>3</v>
      </c>
      <c r="I133" s="1">
        <v>5</v>
      </c>
      <c r="J133" s="1">
        <v>0</v>
      </c>
      <c r="K133" s="1">
        <v>0</v>
      </c>
      <c r="L133" s="1">
        <v>0</v>
      </c>
      <c r="M133" s="1">
        <v>0</v>
      </c>
      <c r="N133" s="1">
        <v>0</v>
      </c>
      <c r="O133" s="1">
        <v>150</v>
      </c>
      <c r="P133" s="1">
        <v>6</v>
      </c>
      <c r="Q133" s="1">
        <v>0</v>
      </c>
      <c r="R133" s="1">
        <v>0</v>
      </c>
      <c r="S133" s="1">
        <v>21</v>
      </c>
      <c r="T133" s="1">
        <v>7</v>
      </c>
      <c r="U133" s="1">
        <v>2</v>
      </c>
      <c r="V133" s="1">
        <v>8</v>
      </c>
      <c r="W133" s="1">
        <v>5</v>
      </c>
      <c r="X133" s="1">
        <v>5</v>
      </c>
      <c r="Y133" s="1">
        <v>0</v>
      </c>
      <c r="Z133" s="1">
        <v>0</v>
      </c>
      <c r="AA133" s="1">
        <v>6</v>
      </c>
      <c r="AB133" s="1">
        <v>8</v>
      </c>
      <c r="AC133" s="1" t="s">
        <v>325</v>
      </c>
      <c r="AD133" s="8">
        <v>41557</v>
      </c>
    </row>
    <row r="134" spans="1:30" x14ac:dyDescent="0.25">
      <c r="A134" s="1">
        <v>73410013502</v>
      </c>
      <c r="B134" s="1" t="s">
        <v>326</v>
      </c>
      <c r="C134" s="9">
        <v>43</v>
      </c>
      <c r="D134" s="9">
        <v>0</v>
      </c>
      <c r="E134" s="9">
        <v>16</v>
      </c>
      <c r="F134" s="1">
        <v>120</v>
      </c>
      <c r="G134" s="1">
        <v>15</v>
      </c>
      <c r="H134" s="1">
        <v>1.5</v>
      </c>
      <c r="I134" s="1">
        <v>2</v>
      </c>
      <c r="J134" s="1">
        <v>0</v>
      </c>
      <c r="K134" s="1">
        <v>0</v>
      </c>
      <c r="L134" s="1">
        <v>0</v>
      </c>
      <c r="M134" s="1">
        <v>0</v>
      </c>
      <c r="N134" s="1">
        <v>0</v>
      </c>
      <c r="O134" s="1">
        <v>150</v>
      </c>
      <c r="P134" s="1">
        <v>6</v>
      </c>
      <c r="Q134" s="1">
        <v>0</v>
      </c>
      <c r="R134" s="1">
        <v>0</v>
      </c>
      <c r="S134" s="1">
        <v>21</v>
      </c>
      <c r="T134" s="1">
        <v>7</v>
      </c>
      <c r="U134" s="1">
        <v>2</v>
      </c>
      <c r="V134" s="1">
        <v>8</v>
      </c>
      <c r="W134" s="1">
        <v>4</v>
      </c>
      <c r="X134" s="1">
        <v>4</v>
      </c>
      <c r="Y134" s="1">
        <v>0</v>
      </c>
      <c r="Z134" s="1">
        <v>0</v>
      </c>
      <c r="AA134" s="1">
        <v>6</v>
      </c>
      <c r="AB134" s="1">
        <v>6</v>
      </c>
      <c r="AC134" s="1" t="s">
        <v>327</v>
      </c>
      <c r="AD134" s="8">
        <v>41557</v>
      </c>
    </row>
    <row r="135" spans="1:30" x14ac:dyDescent="0.25">
      <c r="A135" s="1">
        <v>73410013519</v>
      </c>
      <c r="B135" s="1" t="s">
        <v>328</v>
      </c>
      <c r="C135" s="9">
        <v>43</v>
      </c>
      <c r="D135" s="9">
        <v>0</v>
      </c>
      <c r="E135" s="9">
        <v>16</v>
      </c>
      <c r="F135" s="1">
        <v>100</v>
      </c>
      <c r="G135" s="1">
        <v>10</v>
      </c>
      <c r="H135" s="1">
        <v>1</v>
      </c>
      <c r="I135" s="1">
        <v>2</v>
      </c>
      <c r="J135" s="1">
        <v>0</v>
      </c>
      <c r="K135" s="1">
        <v>0</v>
      </c>
      <c r="L135" s="1">
        <v>0</v>
      </c>
      <c r="M135" s="1">
        <v>0</v>
      </c>
      <c r="N135" s="1">
        <v>0</v>
      </c>
      <c r="O135" s="1">
        <v>150</v>
      </c>
      <c r="P135" s="1">
        <v>6</v>
      </c>
      <c r="Q135" s="1">
        <v>0</v>
      </c>
      <c r="R135" s="1">
        <v>0</v>
      </c>
      <c r="S135" s="1">
        <v>20</v>
      </c>
      <c r="T135" s="1">
        <v>7</v>
      </c>
      <c r="U135" s="1">
        <v>3</v>
      </c>
      <c r="V135" s="1">
        <v>12</v>
      </c>
      <c r="W135" s="1">
        <v>4</v>
      </c>
      <c r="X135" s="1">
        <v>5</v>
      </c>
      <c r="Y135" s="1">
        <v>0</v>
      </c>
      <c r="Z135" s="1">
        <v>0</v>
      </c>
      <c r="AA135" s="1">
        <v>4</v>
      </c>
      <c r="AB135" s="1">
        <v>6</v>
      </c>
      <c r="AC135" s="1" t="s">
        <v>329</v>
      </c>
      <c r="AD135" s="8">
        <v>41557</v>
      </c>
    </row>
    <row r="136" spans="1:30" x14ac:dyDescent="0.25">
      <c r="A136" s="1">
        <v>73410013540</v>
      </c>
      <c r="B136" s="1" t="s">
        <v>330</v>
      </c>
      <c r="C136" s="9">
        <v>43</v>
      </c>
      <c r="D136" s="9">
        <v>0</v>
      </c>
      <c r="E136" s="9">
        <v>16</v>
      </c>
      <c r="F136" s="1">
        <v>110</v>
      </c>
      <c r="G136" s="1">
        <v>15</v>
      </c>
      <c r="H136" s="1">
        <v>1.5</v>
      </c>
      <c r="I136" s="1">
        <v>2</v>
      </c>
      <c r="J136" s="1">
        <v>0</v>
      </c>
      <c r="K136" s="1">
        <v>0</v>
      </c>
      <c r="L136" s="1">
        <v>0</v>
      </c>
      <c r="M136" s="1">
        <v>0</v>
      </c>
      <c r="N136" s="1">
        <v>0</v>
      </c>
      <c r="O136" s="1">
        <v>150</v>
      </c>
      <c r="P136" s="1">
        <v>6</v>
      </c>
      <c r="Q136" s="1">
        <v>0</v>
      </c>
      <c r="R136" s="1">
        <v>0</v>
      </c>
      <c r="S136" s="1">
        <v>20</v>
      </c>
      <c r="T136" s="1">
        <v>7</v>
      </c>
      <c r="U136" s="1">
        <v>1</v>
      </c>
      <c r="V136" s="1">
        <v>4</v>
      </c>
      <c r="W136" s="1">
        <v>3</v>
      </c>
      <c r="X136" s="1">
        <v>4</v>
      </c>
      <c r="Y136" s="1">
        <v>0</v>
      </c>
      <c r="Z136" s="1">
        <v>0</v>
      </c>
      <c r="AA136" s="1">
        <v>8</v>
      </c>
      <c r="AB136" s="1">
        <v>8</v>
      </c>
      <c r="AC136" s="1" t="s">
        <v>331</v>
      </c>
      <c r="AD136" s="8">
        <v>41557</v>
      </c>
    </row>
    <row r="137" spans="1:30" x14ac:dyDescent="0.25">
      <c r="A137" s="1">
        <v>73410013557</v>
      </c>
      <c r="B137" s="1" t="s">
        <v>332</v>
      </c>
      <c r="C137" s="9">
        <v>43</v>
      </c>
      <c r="D137" s="9">
        <v>0</v>
      </c>
      <c r="E137" s="9">
        <v>16</v>
      </c>
      <c r="F137" s="1">
        <v>120</v>
      </c>
      <c r="G137" s="1">
        <v>25</v>
      </c>
      <c r="H137" s="1">
        <v>2.5</v>
      </c>
      <c r="I137" s="1">
        <v>4</v>
      </c>
      <c r="J137" s="1">
        <v>0</v>
      </c>
      <c r="K137" s="1">
        <v>0</v>
      </c>
      <c r="L137" s="1">
        <v>0</v>
      </c>
      <c r="M137" s="1">
        <v>0</v>
      </c>
      <c r="N137" s="1">
        <v>0</v>
      </c>
      <c r="O137" s="1">
        <v>150</v>
      </c>
      <c r="P137" s="1">
        <v>6</v>
      </c>
      <c r="Q137" s="1">
        <v>0</v>
      </c>
      <c r="R137" s="1">
        <v>0</v>
      </c>
      <c r="S137" s="1">
        <v>22</v>
      </c>
      <c r="T137" s="1">
        <v>7</v>
      </c>
      <c r="U137" s="1">
        <v>2</v>
      </c>
      <c r="V137" s="1">
        <v>8</v>
      </c>
      <c r="W137" s="1">
        <v>4</v>
      </c>
      <c r="X137" s="1">
        <v>4</v>
      </c>
      <c r="Y137" s="1">
        <v>0</v>
      </c>
      <c r="Z137" s="1">
        <v>0</v>
      </c>
      <c r="AA137" s="1">
        <v>4</v>
      </c>
      <c r="AB137" s="1">
        <v>8</v>
      </c>
      <c r="AC137" s="1" t="s">
        <v>333</v>
      </c>
      <c r="AD137" s="8">
        <v>41557</v>
      </c>
    </row>
    <row r="138" spans="1:30" x14ac:dyDescent="0.25">
      <c r="A138" s="1">
        <v>73410013656</v>
      </c>
      <c r="B138" s="1" t="s">
        <v>334</v>
      </c>
      <c r="C138" s="9">
        <v>43</v>
      </c>
      <c r="D138" s="9">
        <v>0</v>
      </c>
      <c r="E138" s="9">
        <v>16</v>
      </c>
      <c r="F138" s="1">
        <v>120</v>
      </c>
      <c r="G138" s="1">
        <v>20</v>
      </c>
      <c r="H138" s="1">
        <v>2</v>
      </c>
      <c r="I138" s="1">
        <v>3</v>
      </c>
      <c r="J138" s="1">
        <v>0</v>
      </c>
      <c r="K138" s="1">
        <v>0</v>
      </c>
      <c r="L138" s="1">
        <v>0</v>
      </c>
      <c r="M138" s="1">
        <v>0</v>
      </c>
      <c r="N138" s="1">
        <v>0</v>
      </c>
      <c r="O138" s="1">
        <v>150</v>
      </c>
      <c r="P138" s="1">
        <v>6</v>
      </c>
      <c r="Q138" s="1">
        <v>0</v>
      </c>
      <c r="R138" s="1">
        <v>0</v>
      </c>
      <c r="S138" s="1">
        <v>21</v>
      </c>
      <c r="T138" s="1">
        <v>7</v>
      </c>
      <c r="U138" s="1">
        <v>2</v>
      </c>
      <c r="V138" s="1">
        <v>8</v>
      </c>
      <c r="W138" s="1">
        <v>3</v>
      </c>
      <c r="X138" s="1">
        <v>5</v>
      </c>
      <c r="Y138" s="1">
        <v>0</v>
      </c>
      <c r="Z138" s="1">
        <v>0</v>
      </c>
      <c r="AA138" s="1">
        <v>4</v>
      </c>
      <c r="AB138" s="1">
        <v>8</v>
      </c>
      <c r="AC138" s="1" t="s">
        <v>335</v>
      </c>
      <c r="AD138" s="8">
        <v>41557</v>
      </c>
    </row>
    <row r="139" spans="1:30" x14ac:dyDescent="0.25">
      <c r="A139" s="1">
        <v>73410013748</v>
      </c>
      <c r="B139" s="1" t="s">
        <v>336</v>
      </c>
      <c r="C139" s="9">
        <v>43</v>
      </c>
      <c r="D139" s="9">
        <v>0</v>
      </c>
      <c r="E139" s="9">
        <v>16</v>
      </c>
      <c r="F139" s="1">
        <v>110</v>
      </c>
      <c r="G139" s="1">
        <v>15</v>
      </c>
      <c r="H139" s="1">
        <v>1.5</v>
      </c>
      <c r="I139" s="1">
        <v>2</v>
      </c>
      <c r="J139" s="1">
        <v>0</v>
      </c>
      <c r="K139" s="1">
        <v>0</v>
      </c>
      <c r="L139" s="1">
        <v>0</v>
      </c>
      <c r="M139" s="1">
        <v>0</v>
      </c>
      <c r="N139" s="1">
        <v>0</v>
      </c>
      <c r="O139" s="1">
        <v>150</v>
      </c>
      <c r="P139" s="1">
        <v>6</v>
      </c>
      <c r="Q139" s="1">
        <v>0</v>
      </c>
      <c r="R139" s="1">
        <v>0</v>
      </c>
      <c r="S139" s="1">
        <v>18</v>
      </c>
      <c r="T139" s="1">
        <v>6</v>
      </c>
      <c r="U139" s="1">
        <v>3</v>
      </c>
      <c r="V139" s="1">
        <v>12</v>
      </c>
      <c r="W139" s="1">
        <v>2</v>
      </c>
      <c r="X139" s="1">
        <v>7</v>
      </c>
      <c r="Y139" s="1">
        <v>0</v>
      </c>
      <c r="Z139" s="1">
        <v>0</v>
      </c>
      <c r="AA139" s="1">
        <v>4</v>
      </c>
      <c r="AB139" s="1">
        <v>6</v>
      </c>
      <c r="AC139" s="1" t="s">
        <v>337</v>
      </c>
      <c r="AD139" s="8">
        <v>41557</v>
      </c>
    </row>
    <row r="140" spans="1:30" x14ac:dyDescent="0.25">
      <c r="A140" s="1">
        <v>73410013755</v>
      </c>
      <c r="B140" s="1" t="s">
        <v>338</v>
      </c>
      <c r="C140" s="9">
        <v>43</v>
      </c>
      <c r="D140" s="9">
        <v>0</v>
      </c>
      <c r="E140" s="9">
        <v>16</v>
      </c>
      <c r="F140" s="1">
        <v>110</v>
      </c>
      <c r="G140" s="1">
        <v>10</v>
      </c>
      <c r="H140" s="1">
        <v>1</v>
      </c>
      <c r="I140" s="1">
        <v>2</v>
      </c>
      <c r="J140" s="1">
        <v>0</v>
      </c>
      <c r="K140" s="1">
        <v>0</v>
      </c>
      <c r="L140" s="1">
        <v>0</v>
      </c>
      <c r="M140" s="1">
        <v>0</v>
      </c>
      <c r="N140" s="1">
        <v>0</v>
      </c>
      <c r="O140" s="1">
        <v>150</v>
      </c>
      <c r="P140" s="1">
        <v>6</v>
      </c>
      <c r="Q140" s="1">
        <v>0</v>
      </c>
      <c r="R140" s="1">
        <v>0</v>
      </c>
      <c r="S140" s="1">
        <v>20</v>
      </c>
      <c r="T140" s="1">
        <v>7</v>
      </c>
      <c r="U140" s="1">
        <v>3</v>
      </c>
      <c r="V140" s="1">
        <v>12</v>
      </c>
      <c r="W140" s="1">
        <v>4</v>
      </c>
      <c r="X140" s="1">
        <v>5</v>
      </c>
      <c r="Y140" s="1">
        <v>0</v>
      </c>
      <c r="Z140" s="1">
        <v>0</v>
      </c>
      <c r="AA140" s="1">
        <v>4</v>
      </c>
      <c r="AB140" s="1">
        <v>5</v>
      </c>
      <c r="AC140" s="1" t="s">
        <v>339</v>
      </c>
      <c r="AD140" s="8">
        <v>41557</v>
      </c>
    </row>
    <row r="141" spans="1:30" x14ac:dyDescent="0.25">
      <c r="A141" s="1">
        <v>73410013854</v>
      </c>
      <c r="B141" s="1" t="s">
        <v>340</v>
      </c>
      <c r="C141" s="9">
        <v>43</v>
      </c>
      <c r="D141" s="9">
        <v>0</v>
      </c>
      <c r="E141" s="9">
        <v>16</v>
      </c>
      <c r="F141" s="1">
        <v>100</v>
      </c>
      <c r="G141" s="1">
        <v>15</v>
      </c>
      <c r="H141" s="1">
        <v>1.5</v>
      </c>
      <c r="I141" s="1">
        <v>2</v>
      </c>
      <c r="J141" s="1">
        <v>0</v>
      </c>
      <c r="K141" s="1">
        <v>0</v>
      </c>
      <c r="L141" s="1">
        <v>0</v>
      </c>
      <c r="M141" s="1">
        <v>0</v>
      </c>
      <c r="N141" s="1">
        <v>0</v>
      </c>
      <c r="O141" s="1">
        <v>150</v>
      </c>
      <c r="P141" s="1">
        <v>6</v>
      </c>
      <c r="Q141" s="1">
        <v>0</v>
      </c>
      <c r="R141" s="1">
        <v>0</v>
      </c>
      <c r="S141" s="1">
        <v>20</v>
      </c>
      <c r="T141" s="1">
        <v>7</v>
      </c>
      <c r="U141" s="1">
        <v>4</v>
      </c>
      <c r="V141" s="1">
        <v>16</v>
      </c>
      <c r="W141" s="1">
        <v>4</v>
      </c>
      <c r="X141" s="1">
        <v>5</v>
      </c>
      <c r="Y141" s="1">
        <v>0</v>
      </c>
      <c r="Z141" s="1">
        <v>0</v>
      </c>
      <c r="AA141" s="1">
        <v>4</v>
      </c>
      <c r="AB141" s="1">
        <v>6</v>
      </c>
      <c r="AC141" s="1" t="s">
        <v>341</v>
      </c>
      <c r="AD141" s="8">
        <v>41557</v>
      </c>
    </row>
    <row r="142" spans="1:30" x14ac:dyDescent="0.25">
      <c r="A142" s="1">
        <v>73410022504</v>
      </c>
      <c r="B142" s="1" t="s">
        <v>342</v>
      </c>
      <c r="C142" s="9">
        <v>50</v>
      </c>
      <c r="D142" s="9">
        <v>9</v>
      </c>
      <c r="E142" s="9">
        <v>1</v>
      </c>
      <c r="F142" s="1">
        <v>130</v>
      </c>
      <c r="G142" s="1">
        <v>20</v>
      </c>
      <c r="H142" s="1">
        <v>2</v>
      </c>
      <c r="I142" s="1">
        <v>3</v>
      </c>
      <c r="J142" s="1">
        <v>0</v>
      </c>
      <c r="K142" s="1">
        <v>0</v>
      </c>
      <c r="L142" s="1">
        <v>0</v>
      </c>
      <c r="M142" s="1">
        <v>0</v>
      </c>
      <c r="N142" s="1">
        <v>0</v>
      </c>
      <c r="O142" s="1">
        <v>260</v>
      </c>
      <c r="P142" s="1">
        <v>11</v>
      </c>
      <c r="Q142" s="1">
        <v>0</v>
      </c>
      <c r="R142" s="1">
        <v>0</v>
      </c>
      <c r="S142" s="1">
        <v>22</v>
      </c>
      <c r="T142" s="1">
        <v>7</v>
      </c>
      <c r="U142" s="1">
        <v>3</v>
      </c>
      <c r="V142" s="1">
        <v>12</v>
      </c>
      <c r="W142" s="1">
        <v>4</v>
      </c>
      <c r="X142" s="1">
        <v>6</v>
      </c>
      <c r="Y142" s="1">
        <v>0</v>
      </c>
      <c r="Z142" s="1">
        <v>0</v>
      </c>
      <c r="AA142" s="1">
        <v>6</v>
      </c>
      <c r="AB142" s="1">
        <v>6</v>
      </c>
      <c r="AC142" s="1" t="s">
        <v>343</v>
      </c>
      <c r="AD142" s="8">
        <v>41558</v>
      </c>
    </row>
    <row r="143" spans="1:30" x14ac:dyDescent="0.25">
      <c r="A143" s="1">
        <v>73410025505</v>
      </c>
      <c r="B143" s="1" t="s">
        <v>344</v>
      </c>
      <c r="C143" s="9">
        <v>52</v>
      </c>
      <c r="D143" s="9">
        <v>0</v>
      </c>
      <c r="E143" s="9">
        <v>11</v>
      </c>
      <c r="F143" s="1">
        <v>140</v>
      </c>
      <c r="G143" s="1">
        <v>20</v>
      </c>
      <c r="H143" s="1">
        <v>2</v>
      </c>
      <c r="I143" s="1">
        <v>3</v>
      </c>
      <c r="J143" s="1">
        <v>0</v>
      </c>
      <c r="K143" s="1">
        <v>0</v>
      </c>
      <c r="L143" s="1">
        <v>0</v>
      </c>
      <c r="M143" s="1">
        <v>0</v>
      </c>
      <c r="N143" s="1">
        <v>0</v>
      </c>
      <c r="O143" s="1">
        <v>260</v>
      </c>
      <c r="P143" s="1">
        <v>11</v>
      </c>
      <c r="Q143" s="1">
        <v>0</v>
      </c>
      <c r="R143" s="1">
        <v>0</v>
      </c>
      <c r="S143" s="1">
        <v>25</v>
      </c>
      <c r="T143" s="1">
        <v>8</v>
      </c>
      <c r="U143" s="1">
        <v>2</v>
      </c>
      <c r="V143" s="1">
        <v>8</v>
      </c>
      <c r="W143" s="1">
        <v>4</v>
      </c>
      <c r="X143" s="1">
        <v>5</v>
      </c>
      <c r="Y143" s="1">
        <v>10</v>
      </c>
      <c r="Z143" s="1">
        <v>0</v>
      </c>
      <c r="AA143" s="1">
        <v>10</v>
      </c>
      <c r="AB143" s="1">
        <v>8</v>
      </c>
      <c r="AC143" s="1" t="s">
        <v>345</v>
      </c>
      <c r="AD143" s="8">
        <v>41558</v>
      </c>
    </row>
    <row r="144" spans="1:30" x14ac:dyDescent="0.25">
      <c r="A144" s="1">
        <v>73410025529</v>
      </c>
      <c r="B144" s="1" t="s">
        <v>346</v>
      </c>
      <c r="C144" s="9">
        <v>52</v>
      </c>
      <c r="D144" s="9">
        <v>0</v>
      </c>
      <c r="E144" s="9">
        <v>11</v>
      </c>
      <c r="F144" s="1">
        <v>140</v>
      </c>
      <c r="G144" s="1">
        <v>20</v>
      </c>
      <c r="H144" s="1">
        <v>2</v>
      </c>
      <c r="I144" s="1">
        <v>3</v>
      </c>
      <c r="J144" s="1">
        <v>0</v>
      </c>
      <c r="K144" s="1">
        <v>0</v>
      </c>
      <c r="L144" s="1">
        <v>0</v>
      </c>
      <c r="M144" s="1">
        <v>0</v>
      </c>
      <c r="N144" s="1">
        <v>0</v>
      </c>
      <c r="O144" s="1">
        <v>240</v>
      </c>
      <c r="P144" s="1">
        <v>10</v>
      </c>
      <c r="Q144" s="1">
        <v>0</v>
      </c>
      <c r="R144" s="1">
        <v>0</v>
      </c>
      <c r="S144" s="1">
        <v>25</v>
      </c>
      <c r="T144" s="1">
        <v>8</v>
      </c>
      <c r="U144" s="1">
        <v>2</v>
      </c>
      <c r="V144" s="1">
        <v>8</v>
      </c>
      <c r="W144" s="1">
        <v>4</v>
      </c>
      <c r="X144" s="1">
        <v>5</v>
      </c>
      <c r="Y144" s="1">
        <v>10</v>
      </c>
      <c r="Z144" s="1">
        <v>0</v>
      </c>
      <c r="AA144" s="1">
        <v>10</v>
      </c>
      <c r="AB144" s="1">
        <v>8</v>
      </c>
      <c r="AC144" s="1" t="s">
        <v>347</v>
      </c>
      <c r="AD144" s="8">
        <v>41558</v>
      </c>
    </row>
    <row r="145" spans="1:30" x14ac:dyDescent="0.25">
      <c r="A145" s="1">
        <v>73410025543</v>
      </c>
      <c r="B145" s="1" t="s">
        <v>348</v>
      </c>
      <c r="C145" s="9">
        <v>52</v>
      </c>
      <c r="D145" s="9">
        <v>0</v>
      </c>
      <c r="E145" s="9">
        <v>11</v>
      </c>
      <c r="F145" s="1">
        <v>130</v>
      </c>
      <c r="G145" s="1">
        <v>25</v>
      </c>
      <c r="H145" s="1">
        <v>2.5</v>
      </c>
      <c r="I145" s="1">
        <v>4</v>
      </c>
      <c r="J145" s="1">
        <v>0</v>
      </c>
      <c r="K145" s="1">
        <v>0</v>
      </c>
      <c r="L145" s="1">
        <v>0</v>
      </c>
      <c r="M145" s="1">
        <v>0</v>
      </c>
      <c r="N145" s="1">
        <v>0</v>
      </c>
      <c r="O145" s="1">
        <v>240</v>
      </c>
      <c r="P145" s="1">
        <v>10</v>
      </c>
      <c r="Q145" s="1">
        <v>0</v>
      </c>
      <c r="R145" s="1">
        <v>0</v>
      </c>
      <c r="S145" s="1">
        <v>23</v>
      </c>
      <c r="T145" s="1">
        <v>8</v>
      </c>
      <c r="U145" s="1">
        <v>3</v>
      </c>
      <c r="V145" s="1">
        <v>12</v>
      </c>
      <c r="W145" s="1">
        <v>4</v>
      </c>
      <c r="X145" s="1">
        <v>6</v>
      </c>
      <c r="Y145" s="1">
        <v>10</v>
      </c>
      <c r="Z145" s="1">
        <v>0</v>
      </c>
      <c r="AA145" s="1">
        <v>10</v>
      </c>
      <c r="AB145" s="1">
        <v>6</v>
      </c>
      <c r="AC145" s="1" t="s">
        <v>349</v>
      </c>
      <c r="AD145" s="8">
        <v>41558</v>
      </c>
    </row>
    <row r="146" spans="1:30" x14ac:dyDescent="0.25">
      <c r="C146" s="7"/>
      <c r="D146" s="7"/>
      <c r="E146" s="7"/>
    </row>
    <row r="147" spans="1:30" x14ac:dyDescent="0.25">
      <c r="M147" s="7"/>
    </row>
    <row r="148" spans="1:30" x14ac:dyDescent="0.25">
      <c r="M148" s="7"/>
    </row>
    <row r="149" spans="1:30" x14ac:dyDescent="0.25">
      <c r="A149" t="s">
        <v>384</v>
      </c>
      <c r="D149" t="s">
        <v>384</v>
      </c>
    </row>
    <row r="151" spans="1:30" x14ac:dyDescent="0.25">
      <c r="A151" s="1" t="s">
        <v>7</v>
      </c>
      <c r="B151" s="20" t="s">
        <v>9</v>
      </c>
      <c r="D151" s="1" t="s">
        <v>7</v>
      </c>
      <c r="E151" s="20" t="s">
        <v>10</v>
      </c>
    </row>
    <row r="152" spans="1:30" x14ac:dyDescent="0.25">
      <c r="A152" s="1" t="s">
        <v>396</v>
      </c>
      <c r="B152" s="20" t="str">
        <f>VLOOKUP(B151,$B$3:$D$18,3)</f>
        <v xml:space="preserve"> </v>
      </c>
      <c r="D152" s="1" t="s">
        <v>396</v>
      </c>
      <c r="E152" s="20" t="str">
        <f>VLOOKUP(E151,$B$3:$D$18,3)</f>
        <v xml:space="preserve"> </v>
      </c>
    </row>
    <row r="153" spans="1:30" x14ac:dyDescent="0.25">
      <c r="A153" s="1" t="s">
        <v>383</v>
      </c>
      <c r="B153" s="1" t="str">
        <f>+VLOOKUP(B151,$K$3:$N$18,4,FALSE)</f>
        <v xml:space="preserve">LABEL_ID , </v>
      </c>
      <c r="D153" s="1" t="s">
        <v>383</v>
      </c>
      <c r="E153" s="1" t="str">
        <f>+VLOOKUP(E151,$K$3:$N$18,4,FALSE)</f>
        <v xml:space="preserve">LABEL_ID , </v>
      </c>
    </row>
    <row r="154" spans="1:30" x14ac:dyDescent="0.25">
      <c r="A154" s="1" t="s">
        <v>113</v>
      </c>
      <c r="B154" s="22">
        <f>VLOOKUP(B151,$B$3:$C$18,2)</f>
        <v>3</v>
      </c>
      <c r="D154" s="1" t="s">
        <v>113</v>
      </c>
      <c r="E154" s="22">
        <f>VLOOKUP(E151,$B$3:$C$18,2)</f>
        <v>2</v>
      </c>
    </row>
    <row r="155" spans="1:30" x14ac:dyDescent="0.25">
      <c r="A155" s="24" t="s">
        <v>0</v>
      </c>
      <c r="B155" s="3" t="s">
        <v>8</v>
      </c>
      <c r="D155" s="24" t="s">
        <v>0</v>
      </c>
      <c r="E155" s="3" t="s">
        <v>1</v>
      </c>
      <c r="F155" s="23" t="s">
        <v>2</v>
      </c>
    </row>
    <row r="156" spans="1:30" x14ac:dyDescent="0.25">
      <c r="A156" s="1">
        <v>1</v>
      </c>
      <c r="B156" s="2">
        <v>3608580706830</v>
      </c>
      <c r="D156" s="1">
        <v>1</v>
      </c>
      <c r="E156" s="1" t="s">
        <v>3</v>
      </c>
      <c r="F156" s="1" t="s">
        <v>4</v>
      </c>
    </row>
    <row r="157" spans="1:30" x14ac:dyDescent="0.25">
      <c r="A157" s="1">
        <v>2</v>
      </c>
      <c r="B157" s="2">
        <v>3608580706823</v>
      </c>
      <c r="D157" s="1">
        <v>2</v>
      </c>
      <c r="E157" s="1" t="s">
        <v>5</v>
      </c>
      <c r="F157" s="1" t="s">
        <v>6</v>
      </c>
    </row>
    <row r="158" spans="1:30" x14ac:dyDescent="0.25">
      <c r="A158" s="1">
        <v>2</v>
      </c>
      <c r="B158" s="2">
        <v>3608580706830</v>
      </c>
    </row>
    <row r="164" spans="1:3" x14ac:dyDescent="0.25">
      <c r="A164" s="4"/>
      <c r="B164" s="18"/>
      <c r="C164" s="18"/>
    </row>
    <row r="165" spans="1:3" x14ac:dyDescent="0.25">
      <c r="A165" s="4"/>
      <c r="B165" s="18"/>
      <c r="C165" s="18"/>
    </row>
    <row r="166" spans="1:3" x14ac:dyDescent="0.25">
      <c r="A166" s="4"/>
      <c r="B166" s="18"/>
      <c r="C166" s="18"/>
    </row>
    <row r="167" spans="1:3" x14ac:dyDescent="0.25">
      <c r="A167" s="4"/>
      <c r="B167" s="18"/>
      <c r="C167" s="18"/>
    </row>
    <row r="168" spans="1:3" x14ac:dyDescent="0.25">
      <c r="A168" s="4"/>
      <c r="B168" s="18"/>
      <c r="C168" s="18"/>
    </row>
    <row r="169" spans="1:3" x14ac:dyDescent="0.25">
      <c r="A169" s="4"/>
      <c r="B169" s="18"/>
      <c r="C169" s="18"/>
    </row>
    <row r="170" spans="1:3" x14ac:dyDescent="0.25">
      <c r="A170" s="4"/>
      <c r="B170" s="18"/>
      <c r="C170" s="18"/>
    </row>
    <row r="171" spans="1:3" x14ac:dyDescent="0.25">
      <c r="A171" s="4"/>
      <c r="B171" s="18"/>
      <c r="C171" s="18"/>
    </row>
    <row r="172" spans="1:3" x14ac:dyDescent="0.25">
      <c r="A172" s="4"/>
      <c r="B172" s="18"/>
      <c r="C172" s="18"/>
    </row>
    <row r="173" spans="1:3" x14ac:dyDescent="0.25">
      <c r="A173" s="4"/>
      <c r="B173" s="18"/>
      <c r="C173" s="18"/>
    </row>
    <row r="174" spans="1:3" x14ac:dyDescent="0.25">
      <c r="A174" s="4"/>
      <c r="B174" s="4"/>
      <c r="C174" s="4"/>
    </row>
  </sheetData>
  <pageMargins left="0.7" right="0.7" top="0.75" bottom="0.75" header="0.3" footer="0.3"/>
  <pageSetup scale="29" fitToWidth="3" orientation="portrait" horizont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L68"/>
  <sheetViews>
    <sheetView workbookViewId="0">
      <selection activeCell="A19" sqref="A1:XFD19"/>
    </sheetView>
  </sheetViews>
  <sheetFormatPr defaultRowHeight="15" x14ac:dyDescent="0.25"/>
  <cols>
    <col min="3" max="3" width="21" customWidth="1"/>
    <col min="4" max="4" width="14.140625" customWidth="1"/>
    <col min="5" max="5" width="1.85546875" customWidth="1"/>
    <col min="6" max="6" width="9.85546875" customWidth="1"/>
    <col min="7" max="7" width="13.140625" bestFit="1" customWidth="1"/>
    <col min="8" max="8" width="15.28515625" bestFit="1" customWidth="1"/>
    <col min="9" max="9" width="14" bestFit="1" customWidth="1"/>
    <col min="10" max="10" width="16.42578125" bestFit="1" customWidth="1"/>
    <col min="11" max="11" width="29.7109375" bestFit="1" customWidth="1"/>
    <col min="12" max="12" width="24" bestFit="1" customWidth="1"/>
    <col min="13" max="13" width="22.28515625" bestFit="1" customWidth="1"/>
    <col min="14" max="14" width="24.7109375" bestFit="1" customWidth="1"/>
  </cols>
  <sheetData>
    <row r="2" spans="1:11" x14ac:dyDescent="0.25">
      <c r="A2" s="7"/>
    </row>
    <row r="3" spans="1:11" x14ac:dyDescent="0.25">
      <c r="A3" s="7"/>
    </row>
    <row r="4" spans="1:11" x14ac:dyDescent="0.25">
      <c r="A4" s="7"/>
      <c r="B4" s="7"/>
      <c r="C4" s="7"/>
      <c r="D4" s="7"/>
      <c r="E4" s="7"/>
      <c r="F4" s="7"/>
      <c r="G4" s="7"/>
      <c r="H4" s="7"/>
      <c r="I4" s="7"/>
      <c r="J4" s="7"/>
      <c r="K4" s="7"/>
    </row>
    <row r="5" spans="1:11" x14ac:dyDescent="0.25">
      <c r="A5" s="7"/>
      <c r="B5" s="7"/>
      <c r="C5" s="7"/>
      <c r="D5" s="7"/>
      <c r="E5" s="7"/>
      <c r="F5" s="7"/>
      <c r="G5" s="7"/>
      <c r="H5" s="7"/>
      <c r="I5" s="7"/>
      <c r="J5" s="7"/>
      <c r="K5" s="7"/>
    </row>
    <row r="6" spans="1:11" x14ac:dyDescent="0.25">
      <c r="A6" s="7"/>
      <c r="B6" s="7"/>
      <c r="C6" s="7"/>
      <c r="D6" s="7"/>
      <c r="E6" s="7"/>
      <c r="F6" s="7"/>
      <c r="G6" s="7"/>
      <c r="H6" s="7"/>
      <c r="I6" s="7"/>
      <c r="J6" s="7"/>
      <c r="K6" s="7"/>
    </row>
    <row r="7" spans="1:11" x14ac:dyDescent="0.25">
      <c r="A7" s="7"/>
      <c r="B7" s="7"/>
      <c r="C7" s="7"/>
      <c r="D7" s="7"/>
      <c r="E7" s="7"/>
      <c r="F7" s="7"/>
      <c r="G7" s="7"/>
      <c r="H7" s="7"/>
      <c r="I7" s="7"/>
      <c r="J7" s="7"/>
      <c r="K7" s="7"/>
    </row>
    <row r="8" spans="1:11" x14ac:dyDescent="0.25">
      <c r="A8" s="7"/>
      <c r="B8" s="7"/>
      <c r="C8" s="7"/>
      <c r="D8" s="7"/>
      <c r="E8" s="7"/>
      <c r="F8" s="7"/>
      <c r="G8" s="7"/>
      <c r="H8" s="7"/>
      <c r="I8" s="7"/>
      <c r="J8" s="7"/>
      <c r="K8" s="7"/>
    </row>
    <row r="9" spans="1:11" x14ac:dyDescent="0.25">
      <c r="A9" s="7"/>
      <c r="B9" s="7"/>
      <c r="C9" s="7"/>
      <c r="D9" s="7"/>
      <c r="E9" s="7"/>
      <c r="F9" s="7"/>
      <c r="G9" s="7"/>
      <c r="H9" s="7"/>
      <c r="I9" s="7"/>
      <c r="J9" s="7"/>
      <c r="K9" s="7"/>
    </row>
    <row r="10" spans="1:11" x14ac:dyDescent="0.25">
      <c r="A10" s="7"/>
      <c r="B10" s="7"/>
      <c r="C10" s="7"/>
      <c r="D10" s="7"/>
      <c r="E10" s="7"/>
      <c r="F10" s="7"/>
      <c r="G10" s="7"/>
      <c r="H10" s="7"/>
      <c r="I10" s="7"/>
      <c r="J10" s="7"/>
      <c r="K10" s="7"/>
    </row>
    <row r="11" spans="1:11" x14ac:dyDescent="0.25">
      <c r="A11" s="7"/>
      <c r="B11" s="7"/>
      <c r="C11" s="7"/>
      <c r="D11" s="7"/>
      <c r="E11" s="7"/>
      <c r="F11" s="7"/>
      <c r="G11" s="7"/>
      <c r="H11" s="7"/>
      <c r="I11" s="7"/>
      <c r="J11" s="7"/>
      <c r="K11" s="7"/>
    </row>
    <row r="12" spans="1:11" x14ac:dyDescent="0.25">
      <c r="A12" s="7"/>
      <c r="B12" s="7"/>
      <c r="C12" s="7"/>
      <c r="D12" s="7"/>
      <c r="E12" s="7"/>
      <c r="F12" s="7"/>
      <c r="G12" s="7"/>
      <c r="H12" s="7"/>
      <c r="I12" s="7"/>
      <c r="J12" s="7"/>
      <c r="K12" s="7"/>
    </row>
    <row r="13" spans="1:11" x14ac:dyDescent="0.25">
      <c r="A13" s="7"/>
      <c r="B13" s="7"/>
      <c r="C13" s="7"/>
      <c r="D13" s="7"/>
      <c r="E13" s="7"/>
      <c r="F13" s="7"/>
      <c r="G13" s="7"/>
      <c r="H13" s="7"/>
      <c r="I13" s="7"/>
      <c r="J13" s="7"/>
      <c r="K13" s="7"/>
    </row>
    <row r="14" spans="1:11" x14ac:dyDescent="0.25">
      <c r="A14" s="7"/>
      <c r="B14" s="7"/>
      <c r="C14" s="7"/>
      <c r="D14" s="7"/>
      <c r="E14" s="7"/>
      <c r="F14" s="7"/>
      <c r="G14" s="7"/>
      <c r="H14" s="7"/>
      <c r="I14" s="7"/>
      <c r="J14" s="7"/>
      <c r="K14" s="7"/>
    </row>
    <row r="15" spans="1:11" x14ac:dyDescent="0.25">
      <c r="A15" s="7"/>
      <c r="B15" s="7"/>
      <c r="C15" s="7"/>
      <c r="D15" s="7"/>
      <c r="E15" s="7"/>
      <c r="F15" s="7"/>
      <c r="G15" s="7"/>
      <c r="H15" s="7"/>
      <c r="I15" s="7"/>
      <c r="J15" s="7"/>
      <c r="K15" s="7"/>
    </row>
    <row r="16" spans="1:11" x14ac:dyDescent="0.25">
      <c r="A16" s="7"/>
      <c r="B16" s="7"/>
      <c r="C16" s="7"/>
      <c r="D16" s="7"/>
      <c r="E16" s="7"/>
      <c r="F16" s="7"/>
      <c r="G16" s="7"/>
      <c r="H16" s="7"/>
      <c r="I16" s="7"/>
      <c r="J16" s="7"/>
      <c r="K16" s="7"/>
    </row>
    <row r="17" spans="1:11" x14ac:dyDescent="0.25">
      <c r="A17" s="7"/>
      <c r="B17" s="7"/>
      <c r="C17" s="7"/>
      <c r="D17" s="7"/>
      <c r="E17" s="7"/>
      <c r="F17" s="7"/>
      <c r="G17" s="7"/>
      <c r="H17" s="7"/>
      <c r="I17" s="7"/>
      <c r="J17" s="7"/>
      <c r="K17" s="7"/>
    </row>
    <row r="18" spans="1:11" x14ac:dyDescent="0.25">
      <c r="A18" s="7"/>
      <c r="B18" s="7"/>
      <c r="C18" s="7"/>
      <c r="D18" s="7"/>
      <c r="E18" s="7"/>
      <c r="F18" s="7"/>
      <c r="G18" s="7"/>
      <c r="H18" s="7"/>
      <c r="I18" s="7"/>
      <c r="J18" s="7"/>
      <c r="K18" s="7"/>
    </row>
    <row r="25" spans="1:11" x14ac:dyDescent="0.25">
      <c r="A25" s="7"/>
      <c r="B25" s="7"/>
    </row>
    <row r="26" spans="1:11" x14ac:dyDescent="0.25">
      <c r="A26" s="7"/>
      <c r="B26" s="7"/>
    </row>
    <row r="27" spans="1:11" x14ac:dyDescent="0.25">
      <c r="A27" s="7"/>
      <c r="B27" s="7"/>
    </row>
    <row r="28" spans="1:11" x14ac:dyDescent="0.25">
      <c r="A28" s="7"/>
      <c r="B28" s="7"/>
    </row>
    <row r="29" spans="1:11" x14ac:dyDescent="0.25">
      <c r="A29" s="7"/>
      <c r="B29" s="7"/>
    </row>
    <row r="30" spans="1:11" x14ac:dyDescent="0.25">
      <c r="A30" s="7"/>
      <c r="B30" s="7"/>
    </row>
    <row r="31" spans="1:11" x14ac:dyDescent="0.25">
      <c r="A31" s="7"/>
      <c r="B31" s="7"/>
      <c r="C31" s="7"/>
      <c r="D31" s="7"/>
      <c r="E31" s="7"/>
      <c r="F31" s="7"/>
    </row>
    <row r="32" spans="1:11" x14ac:dyDescent="0.25">
      <c r="A32" s="7"/>
      <c r="B32" s="7"/>
      <c r="C32" s="7"/>
      <c r="D32" s="7"/>
      <c r="E32" s="7"/>
      <c r="F32" s="7"/>
    </row>
    <row r="33" spans="1:12" x14ac:dyDescent="0.25">
      <c r="A33" s="7"/>
      <c r="B33" s="7"/>
      <c r="C33" s="7"/>
      <c r="D33" s="7"/>
      <c r="E33" s="7"/>
      <c r="F33" s="7"/>
    </row>
    <row r="34" spans="1:12" x14ac:dyDescent="0.25">
      <c r="A34" s="7"/>
      <c r="B34" s="7"/>
      <c r="C34" s="7"/>
      <c r="D34" s="7"/>
      <c r="E34" s="7"/>
      <c r="F34" s="7"/>
    </row>
    <row r="35" spans="1:12" x14ac:dyDescent="0.25">
      <c r="A35" s="7"/>
      <c r="B35" s="7"/>
      <c r="C35" s="7"/>
      <c r="D35" s="7"/>
      <c r="E35" s="7"/>
      <c r="F35" s="7"/>
    </row>
    <row r="36" spans="1:12" x14ac:dyDescent="0.25">
      <c r="A36" s="7"/>
      <c r="B36" s="7"/>
      <c r="C36" s="7"/>
      <c r="D36" s="7"/>
      <c r="E36" s="7"/>
      <c r="F36" s="7"/>
    </row>
    <row r="37" spans="1:12" x14ac:dyDescent="0.25">
      <c r="A37" s="7"/>
      <c r="B37" s="7"/>
      <c r="C37" s="7"/>
      <c r="D37" s="7"/>
      <c r="E37" s="7"/>
      <c r="F37" s="7"/>
    </row>
    <row r="38" spans="1:12" x14ac:dyDescent="0.25">
      <c r="A38" s="7"/>
      <c r="B38" s="7"/>
      <c r="C38" s="7"/>
      <c r="D38" s="7"/>
      <c r="E38" s="7"/>
      <c r="F38" s="7"/>
    </row>
    <row r="39" spans="1:12" x14ac:dyDescent="0.25">
      <c r="A39" s="7"/>
      <c r="B39" s="7"/>
      <c r="C39" s="7"/>
      <c r="D39" s="7"/>
      <c r="E39" s="7"/>
      <c r="F39" s="7"/>
    </row>
    <row r="40" spans="1:12" x14ac:dyDescent="0.25">
      <c r="A40" s="7"/>
      <c r="B40" s="7"/>
      <c r="C40" s="7"/>
      <c r="D40" s="7"/>
      <c r="E40" s="7"/>
      <c r="F40" s="7"/>
      <c r="G40" s="7"/>
      <c r="H40" s="7"/>
      <c r="I40" s="7"/>
      <c r="J40" s="7"/>
      <c r="K40" s="7"/>
      <c r="L40" s="7"/>
    </row>
    <row r="41" spans="1:12" x14ac:dyDescent="0.25">
      <c r="A41" s="7"/>
      <c r="B41" s="7"/>
      <c r="C41" s="7"/>
      <c r="D41" s="7"/>
      <c r="E41" s="7"/>
      <c r="F41" s="7"/>
      <c r="G41" s="7"/>
      <c r="H41" s="7"/>
      <c r="I41" s="7"/>
      <c r="J41" s="7"/>
      <c r="K41" s="7"/>
      <c r="L41" s="7"/>
    </row>
    <row r="42" spans="1:12" x14ac:dyDescent="0.25">
      <c r="C42" s="7"/>
      <c r="D42" s="7"/>
      <c r="E42" s="7"/>
      <c r="F42" s="7"/>
    </row>
    <row r="43" spans="1:12" x14ac:dyDescent="0.25">
      <c r="C43" s="7"/>
      <c r="D43" s="7"/>
      <c r="E43" s="7"/>
      <c r="F43" s="7"/>
    </row>
    <row r="44" spans="1:12" x14ac:dyDescent="0.25">
      <c r="C44" s="7"/>
      <c r="D44" s="7"/>
      <c r="E44" s="7"/>
      <c r="F44" s="7"/>
    </row>
    <row r="45" spans="1:12" x14ac:dyDescent="0.25">
      <c r="C45" s="7"/>
      <c r="D45" s="7"/>
      <c r="E45" s="7"/>
      <c r="F45" s="7"/>
    </row>
    <row r="53" spans="3:6" x14ac:dyDescent="0.25">
      <c r="C53" s="6"/>
      <c r="D53" s="12"/>
      <c r="E53" s="12"/>
      <c r="F53" s="12"/>
    </row>
    <row r="54" spans="3:6" x14ac:dyDescent="0.25">
      <c r="C54" s="6"/>
      <c r="D54" s="12"/>
      <c r="E54" s="12"/>
      <c r="F54" s="12"/>
    </row>
    <row r="55" spans="3:6" x14ac:dyDescent="0.25">
      <c r="C55" s="6"/>
      <c r="D55" s="12"/>
      <c r="E55" s="12"/>
      <c r="F55" s="12"/>
    </row>
    <row r="56" spans="3:6" x14ac:dyDescent="0.25">
      <c r="C56" s="6"/>
      <c r="D56" s="12"/>
      <c r="E56" s="12"/>
      <c r="F56" s="12"/>
    </row>
    <row r="57" spans="3:6" x14ac:dyDescent="0.25">
      <c r="C57" s="6"/>
      <c r="D57" s="12"/>
      <c r="E57" s="12"/>
      <c r="F57" s="12"/>
    </row>
    <row r="58" spans="3:6" x14ac:dyDescent="0.25">
      <c r="C58" s="6"/>
      <c r="D58" s="12"/>
      <c r="E58" s="12"/>
      <c r="F58" s="12"/>
    </row>
    <row r="59" spans="3:6" x14ac:dyDescent="0.25">
      <c r="C59" s="6"/>
      <c r="D59" s="12"/>
      <c r="E59" s="12"/>
      <c r="F59" s="12"/>
    </row>
    <row r="60" spans="3:6" x14ac:dyDescent="0.25">
      <c r="C60" s="6"/>
      <c r="D60" s="12"/>
      <c r="E60" s="12"/>
      <c r="F60" s="12"/>
    </row>
    <row r="61" spans="3:6" x14ac:dyDescent="0.25">
      <c r="C61" s="6"/>
      <c r="D61" s="12"/>
      <c r="E61" s="12"/>
      <c r="F61" s="12"/>
    </row>
    <row r="62" spans="3:6" x14ac:dyDescent="0.25">
      <c r="C62" s="6"/>
      <c r="D62" s="12"/>
      <c r="E62" s="12"/>
      <c r="F62" s="12"/>
    </row>
    <row r="63" spans="3:6" x14ac:dyDescent="0.25">
      <c r="C63" s="6"/>
      <c r="D63" s="12"/>
      <c r="E63" s="12"/>
      <c r="F63" s="12"/>
    </row>
    <row r="64" spans="3:6" x14ac:dyDescent="0.25">
      <c r="C64" s="6"/>
      <c r="D64" s="12"/>
      <c r="E64" s="12"/>
      <c r="F64" s="12"/>
    </row>
    <row r="65" spans="3:6" x14ac:dyDescent="0.25">
      <c r="C65" s="6"/>
      <c r="D65" s="12"/>
      <c r="E65" s="12"/>
      <c r="F65" s="12"/>
    </row>
    <row r="66" spans="3:6" x14ac:dyDescent="0.25">
      <c r="C66" s="6"/>
      <c r="D66" s="12"/>
      <c r="E66" s="12"/>
      <c r="F66" s="12"/>
    </row>
    <row r="67" spans="3:6" x14ac:dyDescent="0.25">
      <c r="C67" s="6"/>
      <c r="D67" s="12"/>
      <c r="E67" s="12"/>
      <c r="F67" s="12"/>
    </row>
    <row r="68" spans="3:6" x14ac:dyDescent="0.25">
      <c r="C68" s="6"/>
      <c r="D68" s="12"/>
      <c r="E68" s="12"/>
      <c r="F68" s="1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sqref="A1:D16"/>
    </sheetView>
  </sheetViews>
  <sheetFormatPr defaultRowHeight="15" x14ac:dyDescent="0.25"/>
  <cols>
    <col min="1" max="1" width="15.140625" bestFit="1" customWidth="1"/>
    <col min="2" max="2" width="15.28515625" bestFit="1" customWidth="1"/>
    <col min="3" max="3" width="14" bestFit="1" customWidth="1"/>
    <col min="4" max="4" width="9.140625" bestFit="1" customWidth="1"/>
    <col min="5" max="5" width="15.28515625" bestFit="1" customWidth="1"/>
    <col min="6" max="6" width="14" bestFit="1" customWidth="1"/>
    <col min="7" max="7" width="9.140625" bestFit="1" customWidth="1"/>
  </cols>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Props1.xml><?xml version="1.0" encoding="utf-8"?>
<ds:datastoreItem xmlns:ds="http://schemas.openxmlformats.org/officeDocument/2006/customXml" ds:itemID="{11AC8883-312E-4B82-B025-3E274C6E439B}">
  <ds:schemaRefs/>
</ds:datastoreItem>
</file>

<file path=customXml/itemProps2.xml><?xml version="1.0" encoding="utf-8"?>
<ds:datastoreItem xmlns:ds="http://schemas.openxmlformats.org/officeDocument/2006/customXml" ds:itemID="{E7A990F4-1248-44A6-9356-AADEC468DEC0}">
  <ds:schemaRefs/>
</ds:datastoreItem>
</file>

<file path=customXml/itemProps3.xml><?xml version="1.0" encoding="utf-8"?>
<ds:datastoreItem xmlns:ds="http://schemas.openxmlformats.org/officeDocument/2006/customXml" ds:itemID="{3A60B317-1472-4057-A3DB-4C1114CBD0B4}">
  <ds:schemaRefs/>
</ds:datastoreItem>
</file>

<file path=customXml/itemProps4.xml><?xml version="1.0" encoding="utf-8"?>
<ds:datastoreItem xmlns:ds="http://schemas.openxmlformats.org/officeDocument/2006/customXml" ds:itemID="{AD08BD7E-1CE1-442E-928C-D6C3939271AE}">
  <ds:schemaRefs/>
</ds:datastoreItem>
</file>

<file path=customXml/itemProps5.xml><?xml version="1.0" encoding="utf-8"?>
<ds:datastoreItem xmlns:ds="http://schemas.openxmlformats.org/officeDocument/2006/customXml" ds:itemID="{BDA07745-8364-4A96-9178-10C963990EA1}">
  <ds:schemaRefs>
    <ds:schemaRef ds:uri="http://schemas.microsoft.com/DataMashup"/>
  </ds:schemaRefs>
</ds:datastoreItem>
</file>

<file path=customXml/itemProps6.xml><?xml version="1.0" encoding="utf-8"?>
<ds:datastoreItem xmlns:ds="http://schemas.openxmlformats.org/officeDocument/2006/customXml" ds:itemID="{5A7DDB27-8183-47EB-9952-3522D729D4FE}">
  <ds:schemaRefs/>
</ds:datastoreItem>
</file>

<file path=customXml/itemProps7.xml><?xml version="1.0" encoding="utf-8"?>
<ds:datastoreItem xmlns:ds="http://schemas.openxmlformats.org/officeDocument/2006/customXml" ds:itemID="{BA926031-762E-4660-A678-86CA3E5D7892}">
  <ds:schemaRefs/>
</ds:datastoreItem>
</file>

<file path=customXml/itemProps8.xml><?xml version="1.0" encoding="utf-8"?>
<ds:datastoreItem xmlns:ds="http://schemas.openxmlformats.org/officeDocument/2006/customXml" ds:itemID="{0D677468-8A3E-48CA-B6A7-2B0A6AB3CF4E}">
  <ds:schemaRefs/>
</ds:datastoreItem>
</file>

<file path=customXml/itemProps9.xml><?xml version="1.0" encoding="utf-8"?>
<ds:datastoreItem xmlns:ds="http://schemas.openxmlformats.org/officeDocument/2006/customXml" ds:itemID="{111D20B5-1E5D-4289-9285-C8AEA4584BD7}">
  <ds:schemaRefs/>
</ds:datastoreItem>
</file>

<file path=customXml/itemProps10.xml><?xml version="1.0" encoding="utf-8"?>
<ds:datastoreItem xmlns:ds="http://schemas.openxmlformats.org/officeDocument/2006/customXml" ds:itemID="{92469C5B-23A9-4F5D-A5EE-C1B49A196899}">
  <ds:schemaRefs/>
</ds:datastoreItem>
</file>

<file path=customXml/itemProps11.xml><?xml version="1.0" encoding="utf-8"?>
<ds:datastoreItem xmlns:ds="http://schemas.openxmlformats.org/officeDocument/2006/customXml" ds:itemID="{1CF4357A-5A70-4F6E-BDC3-E60096E44AD7}">
  <ds:schemaRefs/>
</ds:datastoreItem>
</file>

<file path=customXml/itemProps12.xml><?xml version="1.0" encoding="utf-8"?>
<ds:datastoreItem xmlns:ds="http://schemas.openxmlformats.org/officeDocument/2006/customXml" ds:itemID="{89DBDAA6-14CD-4869-9CCF-F5F72E66AAD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19</vt:i4>
      </vt:variant>
    </vt:vector>
  </HeadingPairs>
  <TitlesOfParts>
    <vt:vector size="23" baseType="lpstr">
      <vt:lpstr>Sheet1</vt:lpstr>
      <vt:lpstr>Sheet2</vt:lpstr>
      <vt:lpstr>Sheet3</vt:lpstr>
      <vt:lpstr>Sheet4</vt:lpstr>
      <vt:lpstr>Sheet1!brand</vt:lpstr>
      <vt:lpstr>Sheet1!brand_group</vt:lpstr>
      <vt:lpstr>Sheet1!brand_owner</vt:lpstr>
      <vt:lpstr>Sheet1!brand_owner_bsin</vt:lpstr>
      <vt:lpstr>Sheet1!brand_type</vt:lpstr>
      <vt:lpstr>Sheet1!ExternalData</vt:lpstr>
      <vt:lpstr>Sheet1!gs1_gcp</vt:lpstr>
      <vt:lpstr>Sheet1!gs1_gcp_gpc</vt:lpstr>
      <vt:lpstr>Sheet1!gs1_gcp_hier</vt:lpstr>
      <vt:lpstr>gs1_gcp_nb</vt:lpstr>
      <vt:lpstr>Sheet1!gs1_gcp_rc</vt:lpstr>
      <vt:lpstr>Sheet1!gs1_prefix</vt:lpstr>
      <vt:lpstr>Sheet1!gtin</vt:lpstr>
      <vt:lpstr>Sheet1!GTIN_Tables_And_Record_Counts</vt:lpstr>
      <vt:lpstr>Sheet1!label</vt:lpstr>
      <vt:lpstr>Sheet1!label_gtn</vt:lpstr>
      <vt:lpstr>Sheet1!nutrition</vt:lpstr>
      <vt:lpstr>pkg_type</vt:lpstr>
      <vt:lpstr>Sheet1!Print_Area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Randy Lisbona</dc:creator>
  <cp:lastModifiedBy>Randy Lisbona</cp:lastModifiedBy>
  <cp:lastPrinted>2016-11-30T05:38:49Z</cp:lastPrinted>
  <dcterms:created xsi:type="dcterms:W3CDTF">2016-10-29T01:51:19Z</dcterms:created>
  <dcterms:modified xsi:type="dcterms:W3CDTF">2016-11-30T05:47:06Z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dc84466c-1ea8-409e-b78d-be2dc7dbe354</vt:lpwstr>
  </property>
</Properties>
</file>