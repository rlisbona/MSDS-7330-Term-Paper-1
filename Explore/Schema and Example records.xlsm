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27135"/>
  </bookViews>
  <sheets>
    <sheet name="Sheet1" sheetId="1" r:id="rId1"/>
    <sheet name="Sheet2" sheetId="2" r:id="rId2"/>
    <sheet name="Sheet3" sheetId="3" r:id="rId3"/>
    <sheet name="Sheet4" sheetId="4" r:id="rId4"/>
  </sheets>
  <definedNames>
    <definedName name="brand" localSheetId="0">Sheet1!$A$35:$D$54</definedName>
    <definedName name="brand_group" localSheetId="0">Sheet1!$A$26:$B$29</definedName>
    <definedName name="brand_owner" localSheetId="0">Sheet1!$I$39:$L$49</definedName>
    <definedName name="brand_owner_bsin" localSheetId="0">Sheet1!#REF!</definedName>
    <definedName name="brand_owner_bsin_1" localSheetId="0">Sheet1!$F$37:$G$56</definedName>
    <definedName name="brand_type" localSheetId="0">Sheet1!$D$26:$E$28</definedName>
    <definedName name="ExternalData_1" localSheetId="0">Sheet1!$D$2:$G$18</definedName>
    <definedName name="gs1_gcp" localSheetId="0">Sheet1!$A$60:$W$67</definedName>
    <definedName name="gs1_gcp_gpc" localSheetId="0">Sheet1!$A$124:$E$139</definedName>
    <definedName name="gs1_gcp_hier" localSheetId="0">Sheet1!$U$127:$X$142</definedName>
    <definedName name="gs1_gcp_nb" localSheetId="0">Sheet1!$I$126:$K$144</definedName>
    <definedName name="gs1_gcp_rc" localSheetId="0">Sheet1!$M$126:$O$142</definedName>
    <definedName name="gs1_prefix" localSheetId="0">Sheet1!$Q$127:$S$142</definedName>
    <definedName name="gtin_1" localSheetId="0">Sheet1!$A$72:$U$92</definedName>
    <definedName name="GTIN_Tables_And_Record_Counts" localSheetId="0">Sheet1!$A$2:$E$18</definedName>
    <definedName name="label" localSheetId="0">Sheet1!$J$26:$L$28</definedName>
    <definedName name="label_gtn" localSheetId="0">Sheet1!$G$26:$H$29</definedName>
    <definedName name="nutrition" localSheetId="0">Sheet1!$A$97:$AD$117</definedName>
    <definedName name="pkg_type" localSheetId="0">Sheet1!$Z$48:$AB$90</definedName>
  </definedNames>
  <calcPr calcId="145621"/>
</workbook>
</file>

<file path=xl/calcChain.xml><?xml version="1.0" encoding="utf-8"?>
<calcChain xmlns="http://schemas.openxmlformats.org/spreadsheetml/2006/main">
  <c r="AA47" i="1" l="1"/>
  <c r="V126" i="1"/>
  <c r="R126" i="1"/>
  <c r="H4" i="1"/>
  <c r="B24" i="1" s="1"/>
  <c r="H5" i="1"/>
  <c r="J37" i="1" s="1"/>
  <c r="H6" i="1"/>
  <c r="G35" i="1" s="1"/>
  <c r="H7" i="1"/>
  <c r="E24" i="1" s="1"/>
  <c r="H8" i="1"/>
  <c r="B58" i="1" s="1"/>
  <c r="H9" i="1"/>
  <c r="J124" i="1" s="1"/>
  <c r="H10" i="1"/>
  <c r="N124" i="1" s="1"/>
  <c r="H11" i="1"/>
  <c r="B122" i="1" s="1"/>
  <c r="H12" i="1"/>
  <c r="V125" i="1" s="1"/>
  <c r="H13" i="1"/>
  <c r="R125" i="1" s="1"/>
  <c r="H14" i="1"/>
  <c r="B70" i="1" s="1"/>
  <c r="H15" i="1"/>
  <c r="K24" i="1" s="1"/>
  <c r="H16" i="1"/>
  <c r="H24" i="1" s="1"/>
  <c r="H17" i="1"/>
  <c r="B95" i="1" s="1"/>
  <c r="H18" i="1"/>
  <c r="AA46" i="1" s="1"/>
  <c r="H3" i="1"/>
  <c r="B33" i="1" s="1"/>
  <c r="B96" i="1" l="1"/>
  <c r="B71" i="1" l="1"/>
  <c r="B123" i="1"/>
  <c r="B59" i="1"/>
  <c r="N125" i="1"/>
  <c r="J125" i="1"/>
  <c r="E25" i="1"/>
  <c r="G36" i="1"/>
  <c r="B25" i="1"/>
  <c r="J38" i="1"/>
  <c r="K25" i="1"/>
  <c r="H25" i="1"/>
  <c r="B34"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group" type="6" refreshedVersion="4" background="1" saveData="1">
    <textPr codePage="437" sourceFile="C:\Users\anobs\Documents\GitHub\MSDS-7330-Term-Paper-1\Explore\brand_group.csv" comma="1">
      <textFields count="2">
        <textField/>
        <textField/>
      </textFields>
    </textPr>
  </connection>
  <connection id="3" name="brand_owner" type="6" refreshedVersion="4" background="1" saveData="1">
    <textPr sourceFile="C:\Users\anobs\Documents\GitHub\MSDS-7330-Term-Paper-1\Explore\brand_owner.csv" comma="1">
      <textFields count="4">
        <textField/>
        <textField/>
        <textField/>
        <textField/>
      </textFields>
    </textPr>
  </connection>
  <connection id="4" name="brand_owner_bsin" type="6" refreshedVersion="4" background="1" saveData="1">
    <textPr codePage="437" sourceFile="C:\Users\anobs\Documents\GitHub\MSDS-7330-Term-Paper-1\Explore\brand_owner_bsin.csv" comma="1">
      <textFields count="2">
        <textField/>
        <textField/>
      </textFields>
    </textPr>
  </connection>
  <connection id="5" name="brand_owner_bsin1" type="6" refreshedVersion="4" background="1" saveData="1">
    <textPr codePage="437" sourceFile="C:\Users\anobs\Documents\GitHub\MSDS-7330-Term-Paper-1\Explore\brand_owner_bsin.csv" comma="1">
      <textFields count="2">
        <textField/>
        <textField/>
      </textFields>
    </textPr>
  </connection>
  <connection id="6" name="brand_type" type="6" refreshedVersion="4" background="1" saveData="1">
    <textPr codePage="437" sourceFile="C:\Users\anobs\Documents\GitHub\MSDS-7330-Term-Paper-1\Explore\brand_type.csv" comma="1">
      <textFields count="2">
        <textField/>
        <textField/>
      </textFields>
    </textPr>
  </connection>
  <connection id="7"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8" name="gs1_gcp_gpc" type="6" refreshedVersion="4" background="1" saveData="1">
    <textPr sourceFile="C:\Users\anobs\Documents\GitHub\MSDS-7330-Term-Paper-1\Explore\gs1_gcp_gpc.csv" comma="1">
      <textFields count="5">
        <textField/>
        <textField/>
        <textField/>
        <textField/>
        <textField/>
      </textFields>
    </textPr>
  </connection>
  <connection id="9" name="gs1_gcp_hier" type="6" refreshedVersion="4" background="1" saveData="1">
    <textPr codePage="437" sourceFile="C:\Users\anobs\Documents\GitHub\MSDS-7330-Term-Paper-1\Explore\gs1_gcp_hier.csv" comma="1">
      <textFields count="4">
        <textField/>
        <textField/>
        <textField/>
        <textField/>
      </textFields>
    </textPr>
  </connection>
  <connection id="10" name="gs1_gcp_nb" type="6" refreshedVersion="4" background="1" saveData="1">
    <textPr codePage="437" sourceFile="C:\Users\anobs\Documents\GitHub\MSDS-7330-Term-Paper-1\Explore\gs1_gcp_nb.csv" comma="1">
      <textFields count="3">
        <textField/>
        <textField/>
        <textField/>
      </textFields>
    </textPr>
  </connection>
  <connection id="11" name="gs1_gcp_rc" type="6" refreshedVersion="4" background="1" saveData="1">
    <textPr codePage="437" sourceFile="C:\Users\anobs\Documents\GitHub\MSDS-7330-Term-Paper-1\Explore\gs1_gcp_rc.csv" comma="1">
      <textFields count="3">
        <textField/>
        <textField/>
        <textField/>
      </textFields>
    </textPr>
  </connection>
  <connection id="12" name="gs1_prefix" type="6" refreshedVersion="4" background="1" saveData="1">
    <textPr codePage="437" sourceFile="C:\Users\anobs\Documents\GitHub\MSDS-7330-Term-Paper-1\Explore\gs1_prefix.csv" comma="1">
      <textFields count="3">
        <textField/>
        <textField/>
        <textField/>
      </textFields>
    </textPr>
  </connection>
  <connection id="13"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4" name="gtin1" type="6" refreshedVersion="4" background="1" saveData="1">
    <textPr sourceFile="C:\Users\anobs\Documents\GitHub\MSDS-7330-Term-Paper-1\Explore\gtin.csv" comma="1">
      <textFields count="21">
        <textField/>
        <textField/>
        <textField/>
        <textField/>
        <textField/>
        <textField/>
        <textField/>
        <textField/>
        <textField/>
        <textField/>
        <textField/>
        <textField/>
        <textField/>
        <textField/>
        <textField/>
        <textField/>
        <textField/>
        <textField/>
        <textField/>
        <textField/>
        <textField/>
      </textFields>
    </textPr>
  </connection>
  <connection id="15" name="label" type="6" refreshedVersion="4" background="1" saveData="1">
    <textPr codePage="437" sourceFile="C:\Users\anobs\Documents\GitHub\MSDS-7330-Term-Paper-1\Explore\label.csv" comma="1">
      <textFields count="3">
        <textField/>
        <textField/>
        <textField/>
      </textFields>
    </textPr>
  </connection>
  <connection id="16" name="label_gtn" type="6" refreshedVersion="4" background="1" saveData="1">
    <textPr codePage="437" sourceFile="C:\Users\anobs\Documents\GitHub\MSDS-7330-Term-Paper-1\Explore\label_gtn.csv" comma="1">
      <textFields count="2">
        <textField/>
        <textField/>
      </textFields>
    </textPr>
  </connection>
  <connection id="17"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pkg_type" type="6" refreshedVersion="4" background="1" saveData="1">
    <textPr codePage="65001" sourceFile="C:\Users\anobs\Documents\GitHub\MSDS-7330-Term-Paper-1\Explore\pkg_type.csv" comma="1">
      <textFields count="3">
        <textField/>
        <textField/>
        <textField/>
      </textFields>
    </textPr>
  </connection>
  <connection id="19" keepAlive="1" name="PowerPivot Data"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 id="20" keepAlive="1" name="Query - Table1" description="Connection to the 'Table1' query in the workbook." type="5" refreshedVersion="4" background="1" saveData="1">
    <dbPr connection="provider=Microsoft.Mashup.OleDb.1;data source=$EmbeddedMashup(4cb2a910-e650-4990-ae68-f17b2caf17d0)$;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s>
</file>

<file path=xl/sharedStrings.xml><?xml version="1.0" encoding="utf-8"?>
<sst xmlns="http://schemas.openxmlformats.org/spreadsheetml/2006/main" count="897" uniqueCount="412">
  <si>
    <t>LABEL_ID</t>
  </si>
  <si>
    <t>LABEL_NM</t>
  </si>
  <si>
    <t>LABEL_LINK</t>
  </si>
  <si>
    <t>AB Europe</t>
  </si>
  <si>
    <t>http://ec.europa.eu/agriculture/organic/home_en</t>
  </si>
  <si>
    <t>AB France</t>
  </si>
  <si>
    <t>http://www.agencebio.org/</t>
  </si>
  <si>
    <t>Table:</t>
  </si>
  <si>
    <t>GTIN_CD</t>
  </si>
  <si>
    <t>label_gtin</t>
  </si>
  <si>
    <t>label</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</si>
  <si>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</si>
  <si>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</si>
  <si>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</si>
  <si>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</si>
  <si>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</si>
  <si>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</si>
  <si>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</si>
  <si>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</si>
  <si>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</si>
  <si>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</si>
  <si>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</si>
  <si>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</si>
  <si>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</si>
  <si>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</si>
  <si>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</si>
  <si>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</si>
  <si>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</si>
  <si>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</si>
  <si>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</si>
  <si>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</si>
  <si>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</si>
  <si>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</si>
  <si>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</si>
  <si>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</si>
  <si>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</si>
  <si>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</si>
  <si>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</si>
  <si>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</si>
  <si>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</si>
  <si>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</si>
  <si>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</si>
  <si>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</si>
  <si>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</si>
  <si>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</si>
  <si>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</si>
  <si>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</si>
  <si>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</si>
  <si>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</si>
  <si>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</si>
  <si>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</si>
  <si>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</si>
  <si>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</si>
  <si>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</si>
  <si>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</si>
  <si>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</si>
  <si>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</si>
  <si>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</si>
  <si>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</si>
  <si>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</si>
  <si>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</si>
  <si>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</si>
  <si>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</si>
  <si>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</si>
  <si>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</si>
  <si>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Group</t>
  </si>
  <si>
    <t>Cheese</t>
  </si>
  <si>
    <t>Alcohol</t>
  </si>
  <si>
    <t>DVD BD</t>
  </si>
  <si>
    <t>brand_group</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</si>
  <si>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</si>
  <si>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</si>
  <si>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</si>
  <si>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</si>
  <si>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</si>
  <si>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</si>
  <si>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</si>
  <si>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</si>
  <si>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</si>
  <si>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</si>
  <si>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</si>
  <si>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</si>
  <si>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</si>
  <si>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</si>
  <si>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</si>
  <si>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</si>
  <si>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</si>
  <si>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</si>
  <si>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</si>
  <si>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</si>
  <si>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</si>
  <si>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</si>
  <si>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</si>
  <si>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</si>
  <si>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</si>
  <si>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</si>
  <si>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</si>
  <si>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</si>
  <si>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</si>
  <si>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</si>
  <si>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</si>
  <si>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</si>
  <si>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</si>
  <si>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</si>
  <si>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</si>
  <si>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</si>
  <si>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</si>
  <si>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</si>
  <si>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</si>
  <si>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</si>
  <si>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</si>
  <si>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</si>
  <si>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</si>
  <si>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</si>
  <si>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</si>
  <si>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</si>
  <si>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</si>
  <si>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</si>
  <si>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</si>
  <si>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</si>
  <si>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</si>
  <si>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</si>
  <si>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</si>
  <si>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</si>
  <si>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</si>
  <si>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</si>
  <si>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</si>
  <si>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</si>
  <si>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</si>
  <si>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</si>
  <si>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</si>
  <si>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</si>
  <si>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</si>
  <si>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</si>
  <si>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</si>
  <si>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</si>
  <si>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</si>
  <si>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</si>
  <si>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</si>
  <si>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</si>
  <si>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</si>
  <si>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</si>
  <si>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</si>
  <si>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</si>
  <si>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</si>
  <si>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</si>
  <si>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</si>
  <si>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</si>
  <si>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</si>
  <si>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</si>
  <si>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</si>
  <si>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</si>
  <si>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</si>
  <si>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</si>
  <si>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</si>
  <si>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</si>
  <si>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</si>
  <si>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</si>
  <si>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</si>
  <si>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</si>
  <si>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</si>
  <si>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</si>
  <si>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</si>
  <si>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</si>
  <si>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</si>
  <si>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</si>
  <si>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</si>
  <si>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</si>
  <si>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</si>
  <si>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</si>
  <si>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</si>
  <si>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</si>
  <si>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</si>
  <si>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</si>
  <si>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</si>
  <si>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</si>
  <si>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</si>
  <si>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</si>
  <si>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</si>
  <si>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</si>
  <si>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</si>
  <si>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</si>
  <si>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</si>
  <si>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</si>
  <si>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</si>
  <si>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</si>
  <si>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</si>
  <si>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</si>
  <si>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</si>
  <si>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</si>
  <si>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</si>
  <si>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</si>
  <si>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</si>
  <si>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</si>
  <si>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</si>
  <si>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</si>
  <si>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</si>
  <si>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</si>
  <si>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</si>
  <si>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</si>
  <si>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</si>
  <si>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</si>
  <si>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</si>
  <si>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</si>
  <si>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</si>
  <si>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</si>
  <si>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</si>
  <si>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</si>
  <si>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</si>
  <si>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</si>
  <si>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</si>
  <si>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</si>
  <si>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</si>
  <si>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</si>
  <si>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</si>
  <si>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</si>
  <si>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</si>
  <si>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</si>
  <si>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</si>
  <si>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</si>
  <si>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</si>
  <si>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</si>
  <si>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</si>
  <si>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</si>
  <si>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</si>
  <si>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</si>
  <si>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</si>
  <si>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</si>
  <si>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</si>
  <si>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</si>
  <si>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</si>
  <si>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</si>
  <si>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</si>
  <si>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</si>
  <si>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</si>
  <si>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GS1 US</t>
  </si>
  <si>
    <t>GS1 US - Not used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</si>
  <si>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</si>
  <si>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</si>
  <si>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</si>
  <si>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</si>
  <si>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</si>
  <si>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</si>
  <si>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</si>
  <si>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</si>
  <si>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</si>
  <si>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</si>
  <si>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</si>
  <si>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</si>
  <si>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</si>
  <si>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</si>
  <si>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</si>
  <si>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</si>
  <si>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</si>
  <si>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</si>
  <si>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</si>
  <si>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</si>
  <si>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</si>
  <si>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</si>
  <si>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</si>
  <si>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</si>
  <si>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</si>
  <si>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</si>
  <si>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</si>
  <si>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</si>
  <si>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</si>
  <si>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</si>
  <si>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</si>
  <si>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</si>
  <si>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</si>
  <si>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</si>
  <si>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</si>
  <si>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</si>
  <si>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</si>
  <si>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</si>
  <si>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</si>
  <si>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</si>
  <si>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</si>
  <si>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</si>
  <si>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</si>
  <si>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</si>
  <si>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</si>
  <si>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</si>
  <si>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</si>
  <si>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</si>
  <si>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</si>
  <si>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</si>
  <si>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</si>
  <si>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</si>
  <si>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</si>
  <si>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</si>
  <si>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</si>
  <si>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</si>
  <si>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</si>
  <si>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</si>
  <si>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</si>
  <si>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</si>
  <si>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</si>
  <si>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</si>
  <si>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</si>
  <si>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</si>
  <si>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</si>
  <si>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</si>
  <si>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</si>
  <si>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</si>
  <si>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</si>
  <si>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</si>
  <si>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</si>
  <si>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</si>
  <si>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</si>
  <si>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</si>
  <si>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</si>
  <si>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</si>
  <si>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</si>
  <si>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</si>
  <si>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</si>
  <si>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</si>
  <si>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</si>
  <si>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</si>
  <si>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</si>
  <si>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</si>
  <si>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</si>
  <si>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</si>
  <si>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</si>
  <si>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</si>
  <si>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</si>
  <si>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</si>
  <si>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</si>
  <si>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</si>
  <si>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</si>
  <si>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</si>
  <si>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</si>
  <si>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</si>
  <si>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</si>
  <si>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</si>
  <si>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</si>
  <si>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</si>
  <si>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</si>
  <si>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</si>
  <si>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</si>
  <si>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</si>
  <si>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</si>
  <si>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</si>
  <si>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</si>
  <si>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</si>
  <si>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</si>
  <si>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</si>
  <si>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</si>
  <si>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</si>
  <si>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</si>
  <si>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</si>
  <si>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</si>
  <si>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D</t>
  </si>
  <si>
    <t>F</t>
  </si>
  <si>
    <t>E</t>
  </si>
  <si>
    <t>A</t>
  </si>
  <si>
    <t>C</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</si>
  <si>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</si>
  <si>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</si>
  <si>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</si>
  <si>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</si>
  <si>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</si>
  <si>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</si>
  <si>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</si>
  <si>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</si>
  <si>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</si>
  <si>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</si>
  <si>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</si>
  <si>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</si>
  <si>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</si>
  <si>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</si>
  <si>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</si>
  <si>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</si>
  <si>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</si>
  <si>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</si>
  <si>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</si>
  <si>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</si>
  <si>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</si>
  <si>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</si>
  <si>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</si>
  <si>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</si>
  <si>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</si>
  <si>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</si>
  <si>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</si>
  <si>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tube</t>
  </si>
  <si>
    <t>tube + étui carton</t>
  </si>
  <si>
    <t>Barquette</t>
  </si>
  <si>
    <t>Bidon Plastique - PET</t>
  </si>
  <si>
    <t>Bidon Plastique - HDPE</t>
  </si>
  <si>
    <t>Bidon Plastique - PVC</t>
  </si>
  <si>
    <t>Bidon Plastique - LDPE</t>
  </si>
  <si>
    <t>Bidon Plastique - PP</t>
  </si>
  <si>
    <t>Bidon Plastique - PS</t>
  </si>
  <si>
    <t>Bidon Plastique - Autre</t>
  </si>
  <si>
    <t>Bidon Plastique - Inconnu</t>
  </si>
  <si>
    <t>Pot Plastique - PET</t>
  </si>
  <si>
    <t>Pot Plastique - HDPE</t>
  </si>
  <si>
    <t>Pot Plastique - PVC</t>
  </si>
  <si>
    <t>Pot Plastique - LDPE</t>
  </si>
  <si>
    <t>Pot Plastique - PP</t>
  </si>
  <si>
    <t>Pot Plastique - PS</t>
  </si>
  <si>
    <t>Pot Plastique - Autre</t>
  </si>
  <si>
    <t>Pot Plastique - Inconnu</t>
  </si>
  <si>
    <t>gourdes</t>
  </si>
  <si>
    <t>vaporisateur</t>
  </si>
  <si>
    <t xml:space="preserve">sachet cellophane </t>
  </si>
  <si>
    <t xml:space="preserve">sachet plastique </t>
  </si>
  <si>
    <t xml:space="preserve">sac </t>
  </si>
  <si>
    <t xml:space="preserve">Flacon </t>
  </si>
  <si>
    <t>Both</t>
  </si>
  <si>
    <t>Keys</t>
  </si>
  <si>
    <t>Orphan, no other tables with this keyfield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</si>
</sst>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27">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3" borderId="1" xfId="0" applyFill="1"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1" xfId="0" applyBorder="1" applyAlignment="1">
      <alignment horizontal="center"/>
    </xf>
    <xf numFmtId="0" fontId="0" fillId="0" borderId="0" xfId="0" applyNumberFormat="1"/>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0" borderId="0" xfId="0" applyFont="1" applyBorder="1"/>
    <xf numFmtId="0" fontId="0" fillId="2" borderId="3" xfId="0" applyFill="1" applyBorder="1"/>
    <xf numFmtId="0" fontId="2" fillId="2" borderId="1" xfId="0" applyFont="1" applyFill="1" applyBorder="1"/>
    <xf numFmtId="0" fontId="2" fillId="2" borderId="1" xfId="0" applyFont="1" applyFill="1" applyBorder="1" applyAlignment="1">
      <alignment vertical="center" wrapText="1"/>
    </xf>
  </cellXfs>
  <cellStyles count="2">
    <cellStyle name="Comma" xfId="1" builtinId="3"/>
    <cellStyle name="Normal" xfId="0" builtinId="0"/>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drawing1.xml><?xml version="1.0" encoding="utf-8"?>
<xdr:wsDr xmlns:xdr="http://schemas.openxmlformats.org/drawingml/2006/spreadsheetDrawing" xmlns:a="http://schemas.openxmlformats.org/drawingml/2006/main">
  <xdr:twoCellAnchor>
    <xdr:from>
      <xdr:col>0</xdr:col>
      <xdr:colOff>936625</xdr:colOff>
      <xdr:row>35</xdr:row>
      <xdr:rowOff>47625</xdr:rowOff>
    </xdr:from>
    <xdr:to>
      <xdr:col>4</xdr:col>
      <xdr:colOff>1301750</xdr:colOff>
      <xdr:row>36</xdr:row>
      <xdr:rowOff>111125</xdr:rowOff>
    </xdr:to>
    <xdr:cxnSp macro="">
      <xdr:nvCxnSpPr>
        <xdr:cNvPr id="3" name="Straight Arrow Connector 2"/>
        <xdr:cNvCxnSpPr/>
      </xdr:nvCxnSpPr>
      <xdr:spPr>
        <a:xfrm>
          <a:off x="936625" y="6905625"/>
          <a:ext cx="7874000"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952500</xdr:colOff>
      <xdr:row>36</xdr:row>
      <xdr:rowOff>47625</xdr:rowOff>
    </xdr:from>
    <xdr:to>
      <xdr:col>7</xdr:col>
      <xdr:colOff>1063625</xdr:colOff>
      <xdr:row>38</xdr:row>
      <xdr:rowOff>95250</xdr:rowOff>
    </xdr:to>
    <xdr:cxnSp macro="">
      <xdr:nvCxnSpPr>
        <xdr:cNvPr id="5" name="Straight Arrow Connector 4"/>
        <xdr:cNvCxnSpPr/>
      </xdr:nvCxnSpPr>
      <xdr:spPr>
        <a:xfrm>
          <a:off x="11493500" y="7096125"/>
          <a:ext cx="1238250" cy="428625"/>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59</xdr:row>
      <xdr:rowOff>122464</xdr:rowOff>
    </xdr:from>
    <xdr:to>
      <xdr:col>2</xdr:col>
      <xdr:colOff>857251</xdr:colOff>
      <xdr:row>71</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625929</xdr:colOff>
      <xdr:row>71</xdr:row>
      <xdr:rowOff>122464</xdr:rowOff>
    </xdr:from>
    <xdr:to>
      <xdr:col>0</xdr:col>
      <xdr:colOff>666750</xdr:colOff>
      <xdr:row>96</xdr:row>
      <xdr:rowOff>108857</xdr:rowOff>
    </xdr:to>
    <xdr:cxnSp macro="">
      <xdr:nvCxnSpPr>
        <xdr:cNvPr id="7" name="Straight Arrow Connector 6"/>
        <xdr:cNvCxnSpPr/>
      </xdr:nvCxnSpPr>
      <xdr:spPr>
        <a:xfrm flipH="1">
          <a:off x="1782536" y="22220464"/>
          <a:ext cx="40821" cy="455839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555626</xdr:colOff>
      <xdr:row>34</xdr:row>
      <xdr:rowOff>111126</xdr:rowOff>
    </xdr:from>
    <xdr:to>
      <xdr:col>3</xdr:col>
      <xdr:colOff>904875</xdr:colOff>
      <xdr:row>71</xdr:row>
      <xdr:rowOff>0</xdr:rowOff>
    </xdr:to>
    <xdr:cxnSp macro="">
      <xdr:nvCxnSpPr>
        <xdr:cNvPr id="6" name="Straight Arrow Connector 5"/>
        <xdr:cNvCxnSpPr/>
      </xdr:nvCxnSpPr>
      <xdr:spPr>
        <a:xfrm flipH="1" flipV="1">
          <a:off x="555626" y="6778626"/>
          <a:ext cx="4556124" cy="674687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1428751</xdr:colOff>
      <xdr:row>26</xdr:row>
      <xdr:rowOff>63500</xdr:rowOff>
    </xdr:from>
    <xdr:to>
      <xdr:col>3</xdr:col>
      <xdr:colOff>301625</xdr:colOff>
      <xdr:row>34</xdr:row>
      <xdr:rowOff>127000</xdr:rowOff>
    </xdr:to>
    <xdr:cxnSp macro="">
      <xdr:nvCxnSpPr>
        <xdr:cNvPr id="14" name="Straight Arrow Connector 13"/>
        <xdr:cNvCxnSpPr/>
      </xdr:nvCxnSpPr>
      <xdr:spPr>
        <a:xfrm flipV="1">
          <a:off x="5080001" y="5207000"/>
          <a:ext cx="904874" cy="15875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777875</xdr:colOff>
      <xdr:row>71</xdr:row>
      <xdr:rowOff>142875</xdr:rowOff>
    </xdr:from>
    <xdr:to>
      <xdr:col>2</xdr:col>
      <xdr:colOff>1285875</xdr:colOff>
      <xdr:row>123</xdr:row>
      <xdr:rowOff>47625</xdr:rowOff>
    </xdr:to>
    <xdr:cxnSp macro="">
      <xdr:nvCxnSpPr>
        <xdr:cNvPr id="16" name="Straight Arrow Connector 15"/>
        <xdr:cNvCxnSpPr/>
      </xdr:nvCxnSpPr>
      <xdr:spPr>
        <a:xfrm flipH="1">
          <a:off x="1936750" y="13668375"/>
          <a:ext cx="1524000" cy="9620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47</xdr:row>
      <xdr:rowOff>158751</xdr:rowOff>
    </xdr:from>
    <xdr:to>
      <xdr:col>24</xdr:col>
      <xdr:colOff>619125</xdr:colOff>
      <xdr:row>70</xdr:row>
      <xdr:rowOff>111125</xdr:rowOff>
    </xdr:to>
    <xdr:cxnSp macro="">
      <xdr:nvCxnSpPr>
        <xdr:cNvPr id="18" name="Straight Arrow Connector 17"/>
        <xdr:cNvCxnSpPr/>
      </xdr:nvCxnSpPr>
      <xdr:spPr>
        <a:xfrm flipV="1">
          <a:off x="23272750" y="9302751"/>
          <a:ext cx="6381750" cy="414337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queryTables/queryTable1.xml><?xml version="1.0" encoding="utf-8"?>
<queryTable xmlns="http://schemas.openxmlformats.org/spreadsheetml/2006/main" name="brand_group"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kg_type" connectionId="1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nutrition" connectionId="1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s1_gcp" connectionId="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tin_1" connectionId="1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rand_owner_bsin_1" connectionId="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TIN Tables And Record Counts" connectionId="1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rand_owner"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s1_gcp_gpc"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label_gtn" connectionId="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prefix" connectionId="1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s1_gcp_rc" connectionId="1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s1_gcp_hier" connectionI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s1_gcp_nb" connectionId="1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rand_type" connectionId="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label" connectionId="1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18" Type="http://schemas.openxmlformats.org/officeDocument/2006/relationships/queryTable" Target="../queryTables/queryTable16.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 Type="http://schemas.openxmlformats.org/officeDocument/2006/relationships/drawing" Target="../drawings/drawing1.xml"/><Relationship Id="rId16" Type="http://schemas.openxmlformats.org/officeDocument/2006/relationships/queryTable" Target="../queryTables/queryTable14.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5" Type="http://schemas.openxmlformats.org/officeDocument/2006/relationships/queryTable" Target="../queryTables/queryTable13.xml"/><Relationship Id="rId10" Type="http://schemas.openxmlformats.org/officeDocument/2006/relationships/queryTable" Target="../queryTables/queryTable8.xml"/><Relationship Id="rId19" Type="http://schemas.openxmlformats.org/officeDocument/2006/relationships/queryTable" Target="../queryTables/queryTable17.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D150"/>
  <sheetViews>
    <sheetView showGridLines="0" tabSelected="1" zoomScale="60" zoomScaleNormal="60" workbookViewId="0">
      <pane ySplit="18" topLeftCell="A75" activePane="bottomLeft" state="frozen"/>
      <selection pane="bottomLeft" activeCell="L8" sqref="L8"/>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16.85546875" customWidth="1"/>
    <col min="10" max="10" width="24.28515625" customWidth="1"/>
    <col min="11" max="11" width="19.85546875" customWidth="1"/>
    <col min="12" max="12" width="23.42578125" customWidth="1"/>
    <col min="13" max="13" width="28.85546875" customWidth="1"/>
    <col min="14" max="14" width="22.5703125" customWidth="1"/>
    <col min="15" max="15" width="16.85546875" customWidth="1"/>
    <col min="16" max="16" width="27.5703125" customWidth="1"/>
    <col min="17" max="18" width="16.85546875" customWidth="1"/>
    <col min="19" max="19" width="18.5703125" customWidth="1"/>
    <col min="20" max="20" width="10.85546875" customWidth="1"/>
    <col min="21" max="21" width="19.42578125" customWidth="1"/>
    <col min="22" max="22" width="19.7109375" customWidth="1"/>
    <col min="23" max="23" width="17.42578125" customWidth="1"/>
    <col min="24" max="24" width="17.28515625" customWidth="1"/>
    <col min="25" max="25" width="19.570312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8" x14ac:dyDescent="0.25">
      <c r="A1" t="s">
        <v>257</v>
      </c>
      <c r="D1" t="s">
        <v>256</v>
      </c>
    </row>
    <row r="2" spans="1:8" x14ac:dyDescent="0.25">
      <c r="A2" s="3" t="s">
        <v>100</v>
      </c>
      <c r="B2" s="3" t="s">
        <v>101</v>
      </c>
      <c r="C2" s="4"/>
      <c r="D2" s="16" t="s">
        <v>251</v>
      </c>
      <c r="E2" s="16" t="s">
        <v>100</v>
      </c>
      <c r="F2" s="16" t="s">
        <v>254</v>
      </c>
      <c r="G2" s="17" t="s">
        <v>255</v>
      </c>
      <c r="H2" s="19" t="s">
        <v>409</v>
      </c>
    </row>
    <row r="3" spans="1:8" x14ac:dyDescent="0.25">
      <c r="A3" s="5" t="s">
        <v>64</v>
      </c>
      <c r="B3" s="11">
        <v>4151</v>
      </c>
      <c r="C3" s="4" t="s">
        <v>352</v>
      </c>
      <c r="D3" s="14" t="s">
        <v>252</v>
      </c>
      <c r="E3" s="14" t="s">
        <v>64</v>
      </c>
      <c r="F3" s="14" t="s">
        <v>11</v>
      </c>
      <c r="G3" s="15"/>
      <c r="H3" s="1" t="str">
        <f>+F3&amp;" , "&amp;G3</f>
        <v xml:space="preserve">BSIN , </v>
      </c>
    </row>
    <row r="4" spans="1:8" x14ac:dyDescent="0.25">
      <c r="A4" s="5" t="s">
        <v>69</v>
      </c>
      <c r="B4" s="11">
        <v>3</v>
      </c>
      <c r="C4" s="4"/>
      <c r="D4" s="14" t="s">
        <v>252</v>
      </c>
      <c r="E4" s="14" t="s">
        <v>69</v>
      </c>
      <c r="F4" s="14" t="s">
        <v>11</v>
      </c>
      <c r="G4" s="15"/>
      <c r="H4" s="1" t="str">
        <f t="shared" ref="H4:H18" si="0">+F4&amp;" , "&amp;G4</f>
        <v xml:space="preserve">BSIN , </v>
      </c>
    </row>
    <row r="5" spans="1:8" x14ac:dyDescent="0.25">
      <c r="A5" s="5" t="s">
        <v>102</v>
      </c>
      <c r="B5" s="11">
        <v>32</v>
      </c>
      <c r="C5" s="4" t="s">
        <v>353</v>
      </c>
      <c r="D5" s="14" t="s">
        <v>252</v>
      </c>
      <c r="E5" s="14" t="s">
        <v>102</v>
      </c>
      <c r="F5" s="14" t="s">
        <v>12</v>
      </c>
      <c r="G5" s="15"/>
      <c r="H5" s="1" t="str">
        <f t="shared" si="0"/>
        <v xml:space="preserve">OWNER_CD , </v>
      </c>
    </row>
    <row r="6" spans="1:8" x14ac:dyDescent="0.25">
      <c r="A6" s="5" t="s">
        <v>99</v>
      </c>
      <c r="B6" s="11">
        <v>581</v>
      </c>
      <c r="C6" s="4" t="s">
        <v>354</v>
      </c>
      <c r="D6" s="14" t="s">
        <v>252</v>
      </c>
      <c r="E6" s="14" t="s">
        <v>99</v>
      </c>
      <c r="F6" s="14" t="s">
        <v>11</v>
      </c>
      <c r="G6" s="15"/>
      <c r="H6" s="1" t="str">
        <f t="shared" si="0"/>
        <v xml:space="preserve">BSIN , </v>
      </c>
    </row>
    <row r="7" spans="1:8" x14ac:dyDescent="0.25">
      <c r="A7" s="5" t="s">
        <v>103</v>
      </c>
      <c r="B7" s="11">
        <v>2</v>
      </c>
      <c r="C7" s="4"/>
      <c r="D7" s="14" t="s">
        <v>252</v>
      </c>
      <c r="E7" s="14" t="s">
        <v>103</v>
      </c>
      <c r="F7" s="14" t="s">
        <v>33</v>
      </c>
      <c r="G7" s="15"/>
      <c r="H7" s="1" t="str">
        <f t="shared" si="0"/>
        <v xml:space="preserve">BRAND_TYPE_CD , </v>
      </c>
    </row>
    <row r="8" spans="1:8" x14ac:dyDescent="0.25">
      <c r="A8" s="5" t="s">
        <v>104</v>
      </c>
      <c r="B8" s="11">
        <v>1549550</v>
      </c>
      <c r="C8" s="13" t="s">
        <v>355</v>
      </c>
      <c r="D8" s="14" t="s">
        <v>252</v>
      </c>
      <c r="E8" s="14" t="s">
        <v>104</v>
      </c>
      <c r="F8" s="14" t="s">
        <v>117</v>
      </c>
      <c r="G8" s="15"/>
      <c r="H8" s="1" t="str">
        <f t="shared" si="0"/>
        <v xml:space="preserve">GCP_CD , </v>
      </c>
    </row>
    <row r="9" spans="1:8" x14ac:dyDescent="0.25">
      <c r="A9" s="5" t="s">
        <v>105</v>
      </c>
      <c r="B9" s="11">
        <v>264</v>
      </c>
      <c r="C9" s="4"/>
      <c r="D9" s="14" t="s">
        <v>252</v>
      </c>
      <c r="E9" s="14" t="s">
        <v>105</v>
      </c>
      <c r="F9" s="14" t="s">
        <v>182</v>
      </c>
      <c r="G9" s="15" t="s">
        <v>183</v>
      </c>
      <c r="H9" s="1" t="str">
        <f t="shared" si="0"/>
        <v>prefix_cd , gcp_length</v>
      </c>
    </row>
    <row r="10" spans="1:8" x14ac:dyDescent="0.25">
      <c r="A10" s="5" t="s">
        <v>106</v>
      </c>
      <c r="B10" s="11">
        <v>16</v>
      </c>
      <c r="C10" s="4"/>
      <c r="D10" s="14" t="s">
        <v>252</v>
      </c>
      <c r="E10" s="14" t="s">
        <v>106</v>
      </c>
      <c r="F10" s="14" t="s">
        <v>137</v>
      </c>
      <c r="G10" s="15"/>
      <c r="H10" s="1" t="str">
        <f t="shared" si="0"/>
        <v xml:space="preserve">RETURN_CODE , </v>
      </c>
    </row>
    <row r="11" spans="1:8" x14ac:dyDescent="0.25">
      <c r="A11" s="5" t="s">
        <v>107</v>
      </c>
      <c r="B11" s="11">
        <v>38760</v>
      </c>
      <c r="C11" s="4"/>
      <c r="D11" s="14" t="s">
        <v>252</v>
      </c>
      <c r="E11" s="14" t="s">
        <v>107</v>
      </c>
      <c r="F11" s="14" t="s">
        <v>205</v>
      </c>
      <c r="G11" s="15" t="s">
        <v>206</v>
      </c>
      <c r="H11" s="1" t="str">
        <f t="shared" si="0"/>
        <v>GPC_LANG , GPC_CD</v>
      </c>
    </row>
    <row r="12" spans="1:8" x14ac:dyDescent="0.25">
      <c r="A12" s="5" t="s">
        <v>108</v>
      </c>
      <c r="B12" s="11">
        <v>3298</v>
      </c>
      <c r="C12" s="4"/>
      <c r="D12" s="14" t="s">
        <v>252</v>
      </c>
      <c r="E12" s="14" t="s">
        <v>108</v>
      </c>
      <c r="F12" s="14" t="s">
        <v>231</v>
      </c>
      <c r="G12" s="15"/>
      <c r="H12" s="1" t="str">
        <f t="shared" si="0"/>
        <v xml:space="preserve">GPC_B_CD , </v>
      </c>
    </row>
    <row r="13" spans="1:8" x14ac:dyDescent="0.25">
      <c r="A13" s="5" t="s">
        <v>109</v>
      </c>
      <c r="B13" s="11">
        <v>1000</v>
      </c>
      <c r="C13" s="4"/>
      <c r="D13" s="14" t="s">
        <v>252</v>
      </c>
      <c r="E13" s="14" t="s">
        <v>109</v>
      </c>
      <c r="F13" s="14" t="s">
        <v>232</v>
      </c>
      <c r="G13" s="15"/>
      <c r="H13" s="1" t="str">
        <f t="shared" si="0"/>
        <v xml:space="preserve">PREFIX_CD , </v>
      </c>
    </row>
    <row r="14" spans="1:8" x14ac:dyDescent="0.25">
      <c r="A14" s="5" t="s">
        <v>110</v>
      </c>
      <c r="B14" s="11">
        <v>844270</v>
      </c>
      <c r="C14" s="4" t="s">
        <v>214</v>
      </c>
      <c r="D14" s="14" t="s">
        <v>252</v>
      </c>
      <c r="E14" s="14" t="s">
        <v>110</v>
      </c>
      <c r="F14" s="14" t="s">
        <v>8</v>
      </c>
      <c r="G14" s="15"/>
      <c r="H14" s="1" t="str">
        <f t="shared" si="0"/>
        <v xml:space="preserve">GTIN_CD , </v>
      </c>
    </row>
    <row r="15" spans="1:8" x14ac:dyDescent="0.25">
      <c r="A15" s="5" t="s">
        <v>10</v>
      </c>
      <c r="B15" s="11">
        <v>2</v>
      </c>
      <c r="C15" s="4"/>
      <c r="D15" s="14" t="s">
        <v>252</v>
      </c>
      <c r="E15" s="14" t="s">
        <v>10</v>
      </c>
      <c r="F15" s="14" t="s">
        <v>0</v>
      </c>
      <c r="G15" s="15"/>
      <c r="H15" s="1" t="str">
        <f t="shared" si="0"/>
        <v xml:space="preserve">LABEL_ID , </v>
      </c>
    </row>
    <row r="16" spans="1:8" x14ac:dyDescent="0.25">
      <c r="A16" s="5" t="s">
        <v>9</v>
      </c>
      <c r="B16" s="11">
        <v>3</v>
      </c>
      <c r="C16" s="4"/>
      <c r="D16" s="14" t="s">
        <v>252</v>
      </c>
      <c r="E16" s="14" t="s">
        <v>9</v>
      </c>
      <c r="F16" s="14" t="s">
        <v>0</v>
      </c>
      <c r="G16" s="1"/>
      <c r="H16" s="1" t="str">
        <f t="shared" si="0"/>
        <v xml:space="preserve">LABEL_ID , </v>
      </c>
    </row>
    <row r="17" spans="1:12" x14ac:dyDescent="0.25">
      <c r="A17" s="5" t="s">
        <v>111</v>
      </c>
      <c r="B17" s="11">
        <v>231</v>
      </c>
      <c r="C17" s="4" t="s">
        <v>356</v>
      </c>
      <c r="D17" s="14" t="s">
        <v>252</v>
      </c>
      <c r="E17" s="14" t="s">
        <v>111</v>
      </c>
      <c r="F17" s="14" t="s">
        <v>8</v>
      </c>
      <c r="G17" s="15"/>
      <c r="H17" s="1" t="str">
        <f t="shared" si="0"/>
        <v xml:space="preserve">GTIN_CD , </v>
      </c>
    </row>
    <row r="18" spans="1:12" x14ac:dyDescent="0.25">
      <c r="A18" s="5" t="s">
        <v>112</v>
      </c>
      <c r="B18" s="11">
        <v>42</v>
      </c>
      <c r="C18" s="4"/>
      <c r="D18" s="14" t="s">
        <v>252</v>
      </c>
      <c r="E18" s="14" t="s">
        <v>112</v>
      </c>
      <c r="F18" s="14" t="s">
        <v>253</v>
      </c>
      <c r="G18" s="15"/>
      <c r="H18" s="1" t="str">
        <f t="shared" si="0"/>
        <v xml:space="preserve">pkg_type_cd , </v>
      </c>
    </row>
    <row r="21" spans="1:12" x14ac:dyDescent="0.25">
      <c r="G21" t="s">
        <v>411</v>
      </c>
      <c r="J21" t="s">
        <v>411</v>
      </c>
    </row>
    <row r="23" spans="1:12" x14ac:dyDescent="0.25">
      <c r="A23" s="1" t="s">
        <v>7</v>
      </c>
      <c r="B23" s="20" t="s">
        <v>69</v>
      </c>
      <c r="D23" s="1" t="s">
        <v>7</v>
      </c>
      <c r="E23" s="20" t="s">
        <v>103</v>
      </c>
      <c r="G23" s="1" t="s">
        <v>7</v>
      </c>
      <c r="H23" s="20" t="s">
        <v>9</v>
      </c>
      <c r="J23" s="1" t="s">
        <v>7</v>
      </c>
      <c r="K23" s="20" t="s">
        <v>10</v>
      </c>
    </row>
    <row r="24" spans="1:12" x14ac:dyDescent="0.25">
      <c r="A24" s="1" t="s">
        <v>410</v>
      </c>
      <c r="B24" s="1" t="str">
        <f>+VLOOKUP(B23,$E$3:$H$18,4,FALSE)</f>
        <v xml:space="preserve">BSIN , </v>
      </c>
      <c r="D24" s="1" t="s">
        <v>410</v>
      </c>
      <c r="E24" s="1" t="str">
        <f>+VLOOKUP(E23,$E$3:$H$18,4,FALSE)</f>
        <v xml:space="preserve">BRAND_TYPE_CD , </v>
      </c>
      <c r="G24" s="1" t="s">
        <v>410</v>
      </c>
      <c r="H24" s="1" t="str">
        <f>+VLOOKUP(H23,$E$3:$H$18,4,FALSE)</f>
        <v xml:space="preserve">LABEL_ID , </v>
      </c>
      <c r="J24" s="1" t="s">
        <v>410</v>
      </c>
      <c r="K24" s="1" t="str">
        <f>+VLOOKUP(K23,$E$3:$H$18,4,FALSE)</f>
        <v xml:space="preserve">LABEL_ID , </v>
      </c>
    </row>
    <row r="25" spans="1:12" x14ac:dyDescent="0.25">
      <c r="A25" s="1" t="s">
        <v>113</v>
      </c>
      <c r="B25" s="22">
        <f>VLOOKUP(B23,$A$3:$B$18,2)</f>
        <v>3</v>
      </c>
      <c r="D25" s="1" t="s">
        <v>113</v>
      </c>
      <c r="E25" s="22">
        <f>VLOOKUP(E23,$A$3:$B$18,2)</f>
        <v>2</v>
      </c>
      <c r="G25" s="1" t="s">
        <v>113</v>
      </c>
      <c r="H25" s="22">
        <f>VLOOKUP(H23,$A$3:$B$18,2)</f>
        <v>3</v>
      </c>
      <c r="J25" s="1" t="s">
        <v>113</v>
      </c>
      <c r="K25" s="22">
        <f>VLOOKUP(K23,$A$3:$B$18,2)</f>
        <v>2</v>
      </c>
    </row>
    <row r="26" spans="1:12" x14ac:dyDescent="0.25">
      <c r="A26" s="25" t="s">
        <v>11</v>
      </c>
      <c r="B26" s="3" t="s">
        <v>65</v>
      </c>
      <c r="D26" s="25" t="s">
        <v>33</v>
      </c>
      <c r="E26" s="3" t="s">
        <v>114</v>
      </c>
      <c r="G26" s="25" t="s">
        <v>0</v>
      </c>
      <c r="H26" s="3" t="s">
        <v>8</v>
      </c>
      <c r="J26" s="25" t="s">
        <v>0</v>
      </c>
      <c r="K26" s="3" t="s">
        <v>1</v>
      </c>
      <c r="L26" s="24" t="s">
        <v>2</v>
      </c>
    </row>
    <row r="27" spans="1:12" x14ac:dyDescent="0.25">
      <c r="A27" s="1">
        <v>1</v>
      </c>
      <c r="B27" s="1" t="s">
        <v>66</v>
      </c>
      <c r="D27" s="1">
        <v>1</v>
      </c>
      <c r="E27" s="1" t="s">
        <v>115</v>
      </c>
      <c r="G27" s="1">
        <v>1</v>
      </c>
      <c r="H27" s="2">
        <v>3608580706830</v>
      </c>
      <c r="J27" s="1">
        <v>1</v>
      </c>
      <c r="K27" s="1" t="s">
        <v>3</v>
      </c>
      <c r="L27" s="1" t="s">
        <v>4</v>
      </c>
    </row>
    <row r="28" spans="1:12" x14ac:dyDescent="0.25">
      <c r="A28" s="1">
        <v>2</v>
      </c>
      <c r="B28" s="1" t="s">
        <v>67</v>
      </c>
      <c r="D28" s="1">
        <v>2</v>
      </c>
      <c r="E28" s="1" t="s">
        <v>116</v>
      </c>
      <c r="G28" s="1">
        <v>2</v>
      </c>
      <c r="H28" s="2">
        <v>3608580706823</v>
      </c>
      <c r="J28" s="1">
        <v>2</v>
      </c>
      <c r="K28" s="1" t="s">
        <v>5</v>
      </c>
      <c r="L28" s="1" t="s">
        <v>6</v>
      </c>
    </row>
    <row r="29" spans="1:12" x14ac:dyDescent="0.25">
      <c r="A29" s="1">
        <v>3</v>
      </c>
      <c r="B29" s="1" t="s">
        <v>68</v>
      </c>
      <c r="G29" s="1">
        <v>2</v>
      </c>
      <c r="H29" s="2">
        <v>3608580706830</v>
      </c>
    </row>
    <row r="32" spans="1:12" x14ac:dyDescent="0.25">
      <c r="A32" s="1" t="s">
        <v>7</v>
      </c>
      <c r="B32" s="20" t="s">
        <v>64</v>
      </c>
    </row>
    <row r="33" spans="1:28" x14ac:dyDescent="0.25">
      <c r="A33" s="1" t="s">
        <v>410</v>
      </c>
      <c r="B33" s="1" t="str">
        <f>+VLOOKUP(B32,$E$3:$H$18,4,FALSE)</f>
        <v xml:space="preserve">BSIN , </v>
      </c>
    </row>
    <row r="34" spans="1:28" x14ac:dyDescent="0.25">
      <c r="A34" s="1" t="s">
        <v>113</v>
      </c>
      <c r="B34" s="21">
        <f>VLOOKUP(B32,$A$3:$B$18,2)</f>
        <v>4151</v>
      </c>
      <c r="F34" s="1" t="s">
        <v>7</v>
      </c>
      <c r="G34" s="20" t="s">
        <v>99</v>
      </c>
    </row>
    <row r="35" spans="1:28" x14ac:dyDescent="0.25">
      <c r="A35" s="25" t="s">
        <v>11</v>
      </c>
      <c r="B35" s="3" t="s">
        <v>32</v>
      </c>
      <c r="C35" s="3" t="s">
        <v>33</v>
      </c>
      <c r="D35" s="3" t="s">
        <v>34</v>
      </c>
      <c r="F35" s="1" t="s">
        <v>410</v>
      </c>
      <c r="G35" s="1" t="str">
        <f>+VLOOKUP(G34,$E$3:$H$18,4,FALSE)</f>
        <v xml:space="preserve">BSIN , </v>
      </c>
    </row>
    <row r="36" spans="1:28" x14ac:dyDescent="0.25">
      <c r="A36" s="1" t="s">
        <v>23</v>
      </c>
      <c r="B36" s="1" t="s">
        <v>35</v>
      </c>
      <c r="C36" s="1">
        <v>2</v>
      </c>
      <c r="D36" s="1" t="s">
        <v>36</v>
      </c>
      <c r="F36" s="1" t="s">
        <v>113</v>
      </c>
      <c r="G36" s="22">
        <f>VLOOKUP(G34,$A$3:$B$18,2)</f>
        <v>581</v>
      </c>
      <c r="I36" s="1" t="s">
        <v>7</v>
      </c>
      <c r="J36" s="20" t="s">
        <v>102</v>
      </c>
    </row>
    <row r="37" spans="1:28" x14ac:dyDescent="0.25">
      <c r="A37" s="1" t="s">
        <v>24</v>
      </c>
      <c r="B37" s="1" t="s">
        <v>37</v>
      </c>
      <c r="C37" s="1">
        <v>1</v>
      </c>
      <c r="D37" s="1" t="s">
        <v>36</v>
      </c>
      <c r="F37" s="25" t="s">
        <v>11</v>
      </c>
      <c r="G37" s="3" t="s">
        <v>12</v>
      </c>
      <c r="I37" s="1" t="s">
        <v>410</v>
      </c>
      <c r="J37" s="1" t="str">
        <f>+VLOOKUP(J36,$E$3:$H$18,4,FALSE)</f>
        <v xml:space="preserve">OWNER_CD , </v>
      </c>
    </row>
    <row r="38" spans="1:28" x14ac:dyDescent="0.25">
      <c r="A38" s="1" t="s">
        <v>20</v>
      </c>
      <c r="B38" s="1" t="s">
        <v>38</v>
      </c>
      <c r="C38" s="1">
        <v>1</v>
      </c>
      <c r="D38" s="1" t="s">
        <v>39</v>
      </c>
      <c r="F38" s="1" t="s">
        <v>13</v>
      </c>
      <c r="G38" s="1">
        <v>27</v>
      </c>
      <c r="I38" s="1" t="s">
        <v>113</v>
      </c>
      <c r="J38" s="22">
        <f>VLOOKUP(J36,$A$3:$B$18,2)</f>
        <v>32</v>
      </c>
    </row>
    <row r="39" spans="1:28" x14ac:dyDescent="0.25">
      <c r="A39" s="1" t="s">
        <v>25</v>
      </c>
      <c r="B39" s="1" t="s">
        <v>40</v>
      </c>
      <c r="C39" s="1">
        <v>1</v>
      </c>
      <c r="D39" s="1" t="s">
        <v>41</v>
      </c>
      <c r="F39" s="1" t="s">
        <v>14</v>
      </c>
      <c r="G39" s="1">
        <v>27</v>
      </c>
      <c r="I39" s="25" t="s">
        <v>12</v>
      </c>
      <c r="J39" s="3" t="s">
        <v>70</v>
      </c>
      <c r="K39" s="3" t="s">
        <v>71</v>
      </c>
      <c r="L39" s="3" t="s">
        <v>72</v>
      </c>
    </row>
    <row r="40" spans="1:28" x14ac:dyDescent="0.25">
      <c r="A40" s="1" t="s">
        <v>21</v>
      </c>
      <c r="B40" s="1" t="s">
        <v>42</v>
      </c>
      <c r="C40" s="1">
        <v>1</v>
      </c>
      <c r="D40" s="1" t="s">
        <v>43</v>
      </c>
      <c r="F40" s="1" t="s">
        <v>15</v>
      </c>
      <c r="G40" s="1">
        <v>27</v>
      </c>
      <c r="I40" s="1">
        <v>23</v>
      </c>
      <c r="J40" s="1" t="s">
        <v>73</v>
      </c>
      <c r="K40" s="1" t="s">
        <v>74</v>
      </c>
      <c r="L40" s="1" t="s">
        <v>75</v>
      </c>
    </row>
    <row r="41" spans="1:28" x14ac:dyDescent="0.25">
      <c r="A41" s="1" t="s">
        <v>16</v>
      </c>
      <c r="B41" s="1" t="s">
        <v>44</v>
      </c>
      <c r="C41" s="1">
        <v>1</v>
      </c>
      <c r="D41" s="1" t="s">
        <v>45</v>
      </c>
      <c r="F41" s="1" t="s">
        <v>16</v>
      </c>
      <c r="G41" s="1">
        <v>28</v>
      </c>
      <c r="I41" s="1">
        <v>24</v>
      </c>
      <c r="J41" s="1" t="s">
        <v>76</v>
      </c>
      <c r="K41" s="1" t="s">
        <v>77</v>
      </c>
      <c r="L41" s="1" t="s">
        <v>78</v>
      </c>
    </row>
    <row r="42" spans="1:28" x14ac:dyDescent="0.25">
      <c r="A42" s="1" t="s">
        <v>17</v>
      </c>
      <c r="B42" s="1" t="s">
        <v>46</v>
      </c>
      <c r="C42" s="1">
        <v>1</v>
      </c>
      <c r="D42" s="1" t="s">
        <v>47</v>
      </c>
      <c r="F42" s="1" t="s">
        <v>17</v>
      </c>
      <c r="G42" s="1">
        <v>28</v>
      </c>
      <c r="I42" s="1">
        <v>25</v>
      </c>
      <c r="J42" s="1" t="s">
        <v>79</v>
      </c>
      <c r="K42" s="1" t="s">
        <v>80</v>
      </c>
      <c r="L42" s="1" t="s">
        <v>81</v>
      </c>
    </row>
    <row r="43" spans="1:28" x14ac:dyDescent="0.25">
      <c r="A43" s="1" t="s">
        <v>26</v>
      </c>
      <c r="B43" s="1" t="s">
        <v>48</v>
      </c>
      <c r="C43" s="1">
        <v>1</v>
      </c>
      <c r="D43" s="1" t="s">
        <v>36</v>
      </c>
      <c r="F43" s="1" t="s">
        <v>18</v>
      </c>
      <c r="G43" s="1">
        <v>28</v>
      </c>
      <c r="I43" s="1">
        <v>26</v>
      </c>
      <c r="J43" s="1" t="s">
        <v>82</v>
      </c>
      <c r="K43" s="1" t="s">
        <v>83</v>
      </c>
      <c r="L43" s="1" t="s">
        <v>84</v>
      </c>
    </row>
    <row r="44" spans="1:28" x14ac:dyDescent="0.25">
      <c r="A44" s="1" t="s">
        <v>13</v>
      </c>
      <c r="B44" s="1" t="s">
        <v>49</v>
      </c>
      <c r="C44" s="1">
        <v>2</v>
      </c>
      <c r="D44" s="1" t="s">
        <v>50</v>
      </c>
      <c r="F44" s="1" t="s">
        <v>19</v>
      </c>
      <c r="G44" s="1">
        <v>28</v>
      </c>
      <c r="I44" s="1">
        <v>27</v>
      </c>
      <c r="J44" s="1" t="s">
        <v>85</v>
      </c>
      <c r="K44" s="1" t="s">
        <v>50</v>
      </c>
      <c r="L44" s="1" t="s">
        <v>86</v>
      </c>
    </row>
    <row r="45" spans="1:28" x14ac:dyDescent="0.25">
      <c r="A45" s="1" t="s">
        <v>27</v>
      </c>
      <c r="B45" s="1" t="s">
        <v>51</v>
      </c>
      <c r="C45" s="1">
        <v>1</v>
      </c>
      <c r="D45" s="1" t="s">
        <v>36</v>
      </c>
      <c r="F45" s="1" t="s">
        <v>20</v>
      </c>
      <c r="G45" s="1">
        <v>29</v>
      </c>
      <c r="I45" s="1">
        <v>28</v>
      </c>
      <c r="J45" s="1" t="s">
        <v>87</v>
      </c>
      <c r="K45" s="1" t="s">
        <v>88</v>
      </c>
      <c r="L45" s="1" t="s">
        <v>89</v>
      </c>
      <c r="Z45" s="1" t="s">
        <v>7</v>
      </c>
      <c r="AA45" s="1" t="s">
        <v>112</v>
      </c>
    </row>
    <row r="46" spans="1:28" x14ac:dyDescent="0.25">
      <c r="A46" s="1" t="s">
        <v>18</v>
      </c>
      <c r="B46" s="1" t="s">
        <v>52</v>
      </c>
      <c r="C46" s="1">
        <v>1</v>
      </c>
      <c r="D46" s="1" t="s">
        <v>53</v>
      </c>
      <c r="F46" s="1" t="s">
        <v>21</v>
      </c>
      <c r="G46" s="1">
        <v>29</v>
      </c>
      <c r="I46" s="1">
        <v>29</v>
      </c>
      <c r="J46" s="1" t="s">
        <v>90</v>
      </c>
      <c r="K46" s="1" t="s">
        <v>91</v>
      </c>
      <c r="L46" s="1" t="s">
        <v>92</v>
      </c>
      <c r="Z46" s="1" t="s">
        <v>410</v>
      </c>
      <c r="AA46" s="1" t="str">
        <f>+VLOOKUP(AA45,$E$3:$H$18,4,FALSE)</f>
        <v xml:space="preserve">pkg_type_cd , </v>
      </c>
    </row>
    <row r="47" spans="1:28" x14ac:dyDescent="0.25">
      <c r="A47" s="1" t="s">
        <v>14</v>
      </c>
      <c r="B47" s="1" t="s">
        <v>54</v>
      </c>
      <c r="C47" s="1">
        <v>1</v>
      </c>
      <c r="D47" s="1" t="s">
        <v>55</v>
      </c>
      <c r="F47" s="1" t="s">
        <v>22</v>
      </c>
      <c r="G47" s="1">
        <v>29</v>
      </c>
      <c r="I47" s="1">
        <v>30</v>
      </c>
      <c r="J47" s="1" t="s">
        <v>35</v>
      </c>
      <c r="K47" s="1" t="s">
        <v>36</v>
      </c>
      <c r="L47" s="1" t="s">
        <v>93</v>
      </c>
      <c r="Z47" s="1" t="s">
        <v>113</v>
      </c>
      <c r="AA47" s="22">
        <f>VLOOKUP(AA45,$A$3:$B$18,2)</f>
        <v>42</v>
      </c>
    </row>
    <row r="48" spans="1:28" x14ac:dyDescent="0.25">
      <c r="A48" s="1" t="s">
        <v>28</v>
      </c>
      <c r="B48" s="1" t="s">
        <v>56</v>
      </c>
      <c r="C48" s="1">
        <v>1</v>
      </c>
      <c r="D48" s="1" t="s">
        <v>36</v>
      </c>
      <c r="F48" s="1" t="s">
        <v>23</v>
      </c>
      <c r="G48" s="1">
        <v>30</v>
      </c>
      <c r="I48" s="1">
        <v>31</v>
      </c>
      <c r="J48" s="1" t="s">
        <v>94</v>
      </c>
      <c r="K48" s="1" t="s">
        <v>95</v>
      </c>
      <c r="L48" s="1" t="s">
        <v>96</v>
      </c>
      <c r="Z48" s="25" t="s">
        <v>253</v>
      </c>
      <c r="AA48" s="10" t="s">
        <v>357</v>
      </c>
      <c r="AB48" s="10" t="s">
        <v>358</v>
      </c>
    </row>
    <row r="49" spans="1:28" x14ac:dyDescent="0.25">
      <c r="A49" s="1" t="s">
        <v>19</v>
      </c>
      <c r="B49" s="1" t="s">
        <v>57</v>
      </c>
      <c r="C49" s="1">
        <v>1</v>
      </c>
      <c r="D49" s="1" t="s">
        <v>58</v>
      </c>
      <c r="F49" s="1" t="s">
        <v>24</v>
      </c>
      <c r="G49" s="1">
        <v>30</v>
      </c>
      <c r="I49" s="1">
        <v>32</v>
      </c>
      <c r="J49" s="1" t="s">
        <v>97</v>
      </c>
      <c r="K49" s="1" t="s">
        <v>98</v>
      </c>
      <c r="L49" s="1"/>
      <c r="Z49" s="1">
        <v>1</v>
      </c>
      <c r="AA49" s="9" t="s">
        <v>359</v>
      </c>
      <c r="AB49" s="9" t="s">
        <v>360</v>
      </c>
    </row>
    <row r="50" spans="1:28" x14ac:dyDescent="0.25">
      <c r="A50" s="1" t="s">
        <v>29</v>
      </c>
      <c r="B50" s="1" t="s">
        <v>59</v>
      </c>
      <c r="C50" s="1">
        <v>1</v>
      </c>
      <c r="D50" s="1" t="s">
        <v>36</v>
      </c>
      <c r="F50" s="1" t="s">
        <v>25</v>
      </c>
      <c r="G50" s="1">
        <v>30</v>
      </c>
      <c r="Z50" s="1">
        <v>2</v>
      </c>
      <c r="AA50" s="9" t="s">
        <v>361</v>
      </c>
      <c r="AB50" s="9" t="s">
        <v>362</v>
      </c>
    </row>
    <row r="51" spans="1:28" x14ac:dyDescent="0.25">
      <c r="A51" s="1" t="s">
        <v>22</v>
      </c>
      <c r="B51" s="1" t="s">
        <v>60</v>
      </c>
      <c r="C51" s="1">
        <v>1</v>
      </c>
      <c r="D51" s="1" t="s">
        <v>39</v>
      </c>
      <c r="F51" s="1" t="s">
        <v>26</v>
      </c>
      <c r="G51" s="1">
        <v>30</v>
      </c>
      <c r="Z51" s="1">
        <v>3</v>
      </c>
      <c r="AA51" s="9" t="s">
        <v>363</v>
      </c>
      <c r="AB51" s="9" t="s">
        <v>364</v>
      </c>
    </row>
    <row r="52" spans="1:28" x14ac:dyDescent="0.25">
      <c r="A52" s="1" t="s">
        <v>30</v>
      </c>
      <c r="B52" s="1" t="s">
        <v>61</v>
      </c>
      <c r="C52" s="1">
        <v>1</v>
      </c>
      <c r="D52" s="1" t="s">
        <v>36</v>
      </c>
      <c r="F52" s="1" t="s">
        <v>27</v>
      </c>
      <c r="G52" s="1">
        <v>30</v>
      </c>
      <c r="Z52" s="1">
        <v>4</v>
      </c>
      <c r="AA52" s="9" t="s">
        <v>365</v>
      </c>
      <c r="AB52" s="9" t="s">
        <v>366</v>
      </c>
    </row>
    <row r="53" spans="1:28" x14ac:dyDescent="0.25">
      <c r="A53" s="1" t="s">
        <v>15</v>
      </c>
      <c r="B53" s="1" t="s">
        <v>62</v>
      </c>
      <c r="C53" s="1">
        <v>1</v>
      </c>
      <c r="D53" s="1" t="s">
        <v>50</v>
      </c>
      <c r="F53" s="1" t="s">
        <v>28</v>
      </c>
      <c r="G53" s="1">
        <v>30</v>
      </c>
      <c r="Z53" s="1">
        <v>5</v>
      </c>
      <c r="AA53" s="9" t="s">
        <v>367</v>
      </c>
      <c r="AB53" s="9" t="s">
        <v>368</v>
      </c>
    </row>
    <row r="54" spans="1:28" x14ac:dyDescent="0.25">
      <c r="A54" s="1" t="s">
        <v>31</v>
      </c>
      <c r="B54" s="1" t="s">
        <v>63</v>
      </c>
      <c r="C54" s="1">
        <v>1</v>
      </c>
      <c r="D54" s="1" t="s">
        <v>36</v>
      </c>
      <c r="F54" s="1" t="s">
        <v>29</v>
      </c>
      <c r="G54" s="1">
        <v>30</v>
      </c>
      <c r="Z54" s="1">
        <v>6</v>
      </c>
      <c r="AA54" s="9" t="s">
        <v>369</v>
      </c>
      <c r="AB54" s="9" t="s">
        <v>370</v>
      </c>
    </row>
    <row r="55" spans="1:28" x14ac:dyDescent="0.25">
      <c r="F55" s="1" t="s">
        <v>30</v>
      </c>
      <c r="G55" s="1">
        <v>30</v>
      </c>
      <c r="Z55" s="1">
        <v>7</v>
      </c>
      <c r="AA55" s="9" t="s">
        <v>371</v>
      </c>
      <c r="AB55" s="9" t="s">
        <v>372</v>
      </c>
    </row>
    <row r="56" spans="1:28" x14ac:dyDescent="0.25">
      <c r="F56" s="1" t="s">
        <v>31</v>
      </c>
      <c r="G56" s="1">
        <v>30</v>
      </c>
      <c r="Z56" s="1">
        <v>8</v>
      </c>
      <c r="AA56" s="9" t="s">
        <v>373</v>
      </c>
      <c r="AB56" s="9" t="s">
        <v>374</v>
      </c>
    </row>
    <row r="57" spans="1:28" x14ac:dyDescent="0.25">
      <c r="A57" s="1" t="s">
        <v>7</v>
      </c>
      <c r="B57" s="20" t="s">
        <v>104</v>
      </c>
      <c r="Z57" s="1">
        <v>9</v>
      </c>
      <c r="AA57" s="9" t="s">
        <v>375</v>
      </c>
      <c r="AB57" s="9"/>
    </row>
    <row r="58" spans="1:28" x14ac:dyDescent="0.25">
      <c r="A58" s="1" t="s">
        <v>410</v>
      </c>
      <c r="B58" s="1" t="str">
        <f>+VLOOKUP(B57,$E$3:$H$18,4,FALSE)</f>
        <v xml:space="preserve">GCP_CD , </v>
      </c>
      <c r="Z58" s="1">
        <v>10</v>
      </c>
      <c r="AA58" s="9" t="s">
        <v>376</v>
      </c>
      <c r="AB58" s="9"/>
    </row>
    <row r="59" spans="1:28" x14ac:dyDescent="0.25">
      <c r="A59" s="1" t="s">
        <v>113</v>
      </c>
      <c r="B59" s="21">
        <f>VLOOKUP(B57,$A$3:$B$18,2,)</f>
        <v>1549550</v>
      </c>
      <c r="Z59" s="1">
        <v>11</v>
      </c>
      <c r="AA59" s="9" t="s">
        <v>377</v>
      </c>
      <c r="AB59" s="9"/>
    </row>
    <row r="60" spans="1:28" x14ac:dyDescent="0.25">
      <c r="A60" s="25" t="s">
        <v>117</v>
      </c>
      <c r="B60" s="3" t="s">
        <v>118</v>
      </c>
      <c r="C60" s="3" t="s">
        <v>119</v>
      </c>
      <c r="D60" s="3" t="s">
        <v>120</v>
      </c>
      <c r="E60" s="3" t="s">
        <v>121</v>
      </c>
      <c r="F60" s="3" t="s">
        <v>122</v>
      </c>
      <c r="G60" s="3" t="s">
        <v>123</v>
      </c>
      <c r="H60" s="3" t="s">
        <v>124</v>
      </c>
      <c r="I60" s="3" t="s">
        <v>125</v>
      </c>
      <c r="J60" s="3" t="s">
        <v>126</v>
      </c>
      <c r="K60" s="3" t="s">
        <v>127</v>
      </c>
      <c r="L60" s="3" t="s">
        <v>128</v>
      </c>
      <c r="M60" s="3" t="s">
        <v>129</v>
      </c>
      <c r="N60" s="3" t="s">
        <v>130</v>
      </c>
      <c r="O60" s="3" t="s">
        <v>131</v>
      </c>
      <c r="P60" s="3" t="s">
        <v>132</v>
      </c>
      <c r="Q60" s="3" t="s">
        <v>133</v>
      </c>
      <c r="R60" s="3" t="s">
        <v>134</v>
      </c>
      <c r="S60" s="3" t="s">
        <v>135</v>
      </c>
      <c r="T60" s="3" t="s">
        <v>136</v>
      </c>
      <c r="U60" s="3" t="s">
        <v>137</v>
      </c>
      <c r="V60" s="3" t="s">
        <v>138</v>
      </c>
      <c r="W60" s="3" t="s">
        <v>139</v>
      </c>
      <c r="Z60" s="1">
        <v>12</v>
      </c>
      <c r="AA60" s="9" t="s">
        <v>378</v>
      </c>
      <c r="AB60" s="9"/>
    </row>
    <row r="61" spans="1:28" x14ac:dyDescent="0.25">
      <c r="A61" s="1">
        <v>45654</v>
      </c>
      <c r="B61" s="1">
        <v>45654000006</v>
      </c>
      <c r="C61" s="1" t="s">
        <v>140</v>
      </c>
      <c r="D61" s="1" t="s">
        <v>141</v>
      </c>
      <c r="E61" s="1"/>
      <c r="F61" s="1" t="s">
        <v>142</v>
      </c>
      <c r="G61" s="1">
        <v>61111</v>
      </c>
      <c r="H61" s="1" t="s">
        <v>143</v>
      </c>
      <c r="I61" s="1" t="s">
        <v>144</v>
      </c>
      <c r="J61" s="1"/>
      <c r="K61" s="1"/>
      <c r="L61" s="1"/>
      <c r="M61" s="1"/>
      <c r="N61" s="1"/>
      <c r="O61" s="1"/>
      <c r="P61" s="1"/>
      <c r="Q61" s="1"/>
      <c r="R61" s="1">
        <v>45654000006</v>
      </c>
      <c r="S61" s="1">
        <v>45654</v>
      </c>
      <c r="T61" s="1"/>
      <c r="U61" s="1">
        <v>0</v>
      </c>
      <c r="V61" s="1" t="s">
        <v>145</v>
      </c>
      <c r="W61" s="8">
        <v>41538</v>
      </c>
      <c r="Z61" s="1">
        <v>13</v>
      </c>
      <c r="AA61" s="9" t="s">
        <v>379</v>
      </c>
      <c r="AB61" s="9"/>
    </row>
    <row r="62" spans="1:28" x14ac:dyDescent="0.25">
      <c r="A62" s="1">
        <v>85147</v>
      </c>
      <c r="B62" s="1">
        <v>85147000007</v>
      </c>
      <c r="C62" s="1" t="s">
        <v>146</v>
      </c>
      <c r="D62" s="1" t="s">
        <v>147</v>
      </c>
      <c r="E62" s="1"/>
      <c r="F62" s="1" t="s">
        <v>142</v>
      </c>
      <c r="G62" s="1" t="s">
        <v>148</v>
      </c>
      <c r="H62" s="1" t="s">
        <v>143</v>
      </c>
      <c r="I62" s="1" t="s">
        <v>144</v>
      </c>
      <c r="J62" s="1"/>
      <c r="K62" s="1"/>
      <c r="L62" s="1"/>
      <c r="M62" s="1"/>
      <c r="N62" s="1"/>
      <c r="O62" s="1"/>
      <c r="P62" s="1"/>
      <c r="Q62" s="1"/>
      <c r="R62" s="1">
        <v>85147000007</v>
      </c>
      <c r="S62" s="1">
        <v>85147</v>
      </c>
      <c r="T62" s="1"/>
      <c r="U62" s="1">
        <v>0</v>
      </c>
      <c r="V62" s="1" t="s">
        <v>145</v>
      </c>
      <c r="W62" s="8">
        <v>41541</v>
      </c>
      <c r="Z62" s="1">
        <v>14</v>
      </c>
      <c r="AA62" s="9" t="s">
        <v>380</v>
      </c>
      <c r="AB62" s="9"/>
    </row>
    <row r="63" spans="1:28" x14ac:dyDescent="0.25">
      <c r="A63" s="1">
        <v>774728</v>
      </c>
      <c r="B63" s="1">
        <v>58200000016</v>
      </c>
      <c r="C63" s="1" t="s">
        <v>149</v>
      </c>
      <c r="D63" s="1" t="s">
        <v>150</v>
      </c>
      <c r="E63" s="1" t="s">
        <v>151</v>
      </c>
      <c r="F63" s="1"/>
      <c r="G63" s="1" t="s">
        <v>152</v>
      </c>
      <c r="H63" s="1" t="s">
        <v>153</v>
      </c>
      <c r="I63" s="1" t="s">
        <v>154</v>
      </c>
      <c r="J63" s="1"/>
      <c r="K63" s="1"/>
      <c r="L63" s="1"/>
      <c r="M63" s="1"/>
      <c r="N63" s="1"/>
      <c r="O63" s="1"/>
      <c r="P63" s="1"/>
      <c r="Q63" s="1">
        <v>58200000016</v>
      </c>
      <c r="R63" s="1">
        <v>774728000009</v>
      </c>
      <c r="S63" s="1">
        <v>774728</v>
      </c>
      <c r="T63" s="1"/>
      <c r="U63" s="1">
        <v>0</v>
      </c>
      <c r="V63" s="1" t="s">
        <v>145</v>
      </c>
      <c r="W63" s="8">
        <v>41605</v>
      </c>
      <c r="Z63" s="1">
        <v>15</v>
      </c>
      <c r="AA63" s="1" t="s">
        <v>381</v>
      </c>
      <c r="AB63" s="1"/>
    </row>
    <row r="64" spans="1:28" x14ac:dyDescent="0.25">
      <c r="A64" s="1">
        <v>83229600</v>
      </c>
      <c r="B64" s="1">
        <v>832296000002</v>
      </c>
      <c r="C64" s="1" t="s">
        <v>155</v>
      </c>
      <c r="D64" s="1" t="s">
        <v>156</v>
      </c>
      <c r="E64" s="1"/>
      <c r="F64" s="1" t="s">
        <v>154</v>
      </c>
      <c r="G64" s="1">
        <v>93065</v>
      </c>
      <c r="H64" s="1" t="s">
        <v>157</v>
      </c>
      <c r="I64" s="1" t="s">
        <v>144</v>
      </c>
      <c r="J64" s="1"/>
      <c r="K64" s="1" t="s">
        <v>158</v>
      </c>
      <c r="L64" s="1" t="s">
        <v>159</v>
      </c>
      <c r="M64" s="1"/>
      <c r="N64" s="1"/>
      <c r="O64" s="1"/>
      <c r="P64" s="1"/>
      <c r="Q64" s="1"/>
      <c r="R64" s="1">
        <v>832296000002</v>
      </c>
      <c r="S64" s="1">
        <v>83229600</v>
      </c>
      <c r="T64" s="1"/>
      <c r="U64" s="1">
        <v>0</v>
      </c>
      <c r="V64" s="1" t="s">
        <v>145</v>
      </c>
      <c r="W64" s="8">
        <v>41568</v>
      </c>
      <c r="Z64" s="1">
        <v>16</v>
      </c>
      <c r="AA64" s="1" t="s">
        <v>382</v>
      </c>
      <c r="AB64" s="1"/>
    </row>
    <row r="65" spans="1:28" x14ac:dyDescent="0.25">
      <c r="A65" s="1">
        <v>460706432</v>
      </c>
      <c r="B65" s="1">
        <v>4607064329991</v>
      </c>
      <c r="C65" s="1" t="s">
        <v>160</v>
      </c>
      <c r="D65" s="1">
        <v>3</v>
      </c>
      <c r="E65" s="1"/>
      <c r="F65" s="1"/>
      <c r="G65" s="1">
        <v>94033</v>
      </c>
      <c r="H65" s="1" t="s">
        <v>161</v>
      </c>
      <c r="I65" s="1" t="s">
        <v>162</v>
      </c>
      <c r="J65" s="1" t="s">
        <v>163</v>
      </c>
      <c r="K65" s="1" t="s">
        <v>164</v>
      </c>
      <c r="L65" s="1"/>
      <c r="M65" s="1">
        <v>74956631365</v>
      </c>
      <c r="N65" s="1" t="s">
        <v>165</v>
      </c>
      <c r="O65" s="1" t="s">
        <v>166</v>
      </c>
      <c r="P65" s="8">
        <v>41599</v>
      </c>
      <c r="Q65" s="1">
        <v>4600001999998</v>
      </c>
      <c r="R65" s="1">
        <v>4607064324354</v>
      </c>
      <c r="S65" s="1">
        <v>460706432</v>
      </c>
      <c r="T65" s="1"/>
      <c r="U65" s="1">
        <v>0</v>
      </c>
      <c r="V65" s="1" t="s">
        <v>145</v>
      </c>
      <c r="W65" s="8">
        <v>41603</v>
      </c>
      <c r="Z65" s="1">
        <v>17</v>
      </c>
      <c r="AA65" s="1" t="s">
        <v>383</v>
      </c>
      <c r="AB65" s="1"/>
    </row>
    <row r="66" spans="1:28" x14ac:dyDescent="0.25">
      <c r="A66" s="1">
        <v>75010080</v>
      </c>
      <c r="B66" s="1">
        <v>7504000885009</v>
      </c>
      <c r="C66" s="1" t="s">
        <v>167</v>
      </c>
      <c r="D66" s="1" t="s">
        <v>168</v>
      </c>
      <c r="E66" s="1" t="s">
        <v>169</v>
      </c>
      <c r="F66" s="1" t="s">
        <v>170</v>
      </c>
      <c r="G66" s="1">
        <v>76135</v>
      </c>
      <c r="H66" s="1" t="s">
        <v>171</v>
      </c>
      <c r="I66" s="1" t="s">
        <v>172</v>
      </c>
      <c r="J66" s="1"/>
      <c r="K66" s="1"/>
      <c r="L66" s="1"/>
      <c r="M66" s="1"/>
      <c r="N66" s="1"/>
      <c r="O66" s="1" t="s">
        <v>173</v>
      </c>
      <c r="P66" s="8">
        <v>39520</v>
      </c>
      <c r="Q66" s="1">
        <v>7502000000002</v>
      </c>
      <c r="R66" s="1">
        <v>7501008007358</v>
      </c>
      <c r="S66" s="1">
        <v>75010080</v>
      </c>
      <c r="T66" s="1"/>
      <c r="U66" s="1">
        <v>0</v>
      </c>
      <c r="V66" s="1" t="s">
        <v>145</v>
      </c>
      <c r="W66" s="8">
        <v>41620</v>
      </c>
      <c r="Z66" s="1">
        <v>18</v>
      </c>
      <c r="AA66" s="1" t="s">
        <v>384</v>
      </c>
      <c r="AB66" s="1"/>
    </row>
    <row r="67" spans="1:28" x14ac:dyDescent="0.25">
      <c r="A67" s="1">
        <v>7591057</v>
      </c>
      <c r="B67" s="1">
        <v>7591057000004</v>
      </c>
      <c r="C67" s="1" t="s">
        <v>174</v>
      </c>
      <c r="D67" s="1" t="s">
        <v>175</v>
      </c>
      <c r="E67" s="1"/>
      <c r="F67" s="1"/>
      <c r="G67" s="1">
        <v>2101</v>
      </c>
      <c r="H67" s="1" t="s">
        <v>176</v>
      </c>
      <c r="I67" s="1" t="s">
        <v>177</v>
      </c>
      <c r="J67" s="1" t="s">
        <v>178</v>
      </c>
      <c r="K67" s="1" t="s">
        <v>179</v>
      </c>
      <c r="L67" s="1"/>
      <c r="M67" s="1" t="s">
        <v>180</v>
      </c>
      <c r="N67" s="1" t="s">
        <v>181</v>
      </c>
      <c r="O67" s="1"/>
      <c r="P67" s="8">
        <v>37459</v>
      </c>
      <c r="Q67" s="1">
        <v>9501101020023</v>
      </c>
      <c r="R67" s="1">
        <v>7591057017026</v>
      </c>
      <c r="S67" s="1">
        <v>7591057</v>
      </c>
      <c r="T67" s="1"/>
      <c r="U67" s="1">
        <v>0</v>
      </c>
      <c r="V67" s="1" t="s">
        <v>145</v>
      </c>
      <c r="W67" s="8">
        <v>41620</v>
      </c>
      <c r="Z67" s="1">
        <v>19</v>
      </c>
      <c r="AA67" s="1" t="s">
        <v>385</v>
      </c>
      <c r="AB67" s="1"/>
    </row>
    <row r="68" spans="1:28" x14ac:dyDescent="0.25">
      <c r="C68" s="7"/>
      <c r="D68" s="7"/>
      <c r="E68" s="7"/>
      <c r="Z68" s="1">
        <v>20</v>
      </c>
      <c r="AA68" s="1" t="s">
        <v>386</v>
      </c>
      <c r="AB68" s="1"/>
    </row>
    <row r="69" spans="1:28" x14ac:dyDescent="0.25">
      <c r="A69" s="1" t="s">
        <v>7</v>
      </c>
      <c r="B69" s="20" t="s">
        <v>110</v>
      </c>
      <c r="C69" s="7"/>
      <c r="D69" s="7"/>
      <c r="E69" s="7"/>
      <c r="Z69" s="1">
        <v>21</v>
      </c>
      <c r="AA69" s="1" t="s">
        <v>387</v>
      </c>
      <c r="AB69" s="1" t="s">
        <v>360</v>
      </c>
    </row>
    <row r="70" spans="1:28" x14ac:dyDescent="0.25">
      <c r="A70" s="1" t="s">
        <v>410</v>
      </c>
      <c r="B70" s="1" t="str">
        <f>+VLOOKUP(B69,$E$3:$H$18,4,FALSE)</f>
        <v xml:space="preserve">GTIN_CD , </v>
      </c>
      <c r="C70" s="7"/>
      <c r="D70" s="7"/>
      <c r="E70" s="7"/>
      <c r="Z70" s="1">
        <v>22</v>
      </c>
      <c r="AA70" s="1" t="s">
        <v>388</v>
      </c>
      <c r="AB70" s="1" t="s">
        <v>362</v>
      </c>
    </row>
    <row r="71" spans="1:28" x14ac:dyDescent="0.25">
      <c r="A71" s="1" t="s">
        <v>113</v>
      </c>
      <c r="B71" s="21">
        <f>VLOOKUP(B69,$A$3:$B$18,2,)</f>
        <v>844270</v>
      </c>
      <c r="C71" s="7"/>
      <c r="D71" s="7"/>
      <c r="E71" s="7"/>
      <c r="Z71" s="1">
        <v>23</v>
      </c>
      <c r="AA71" s="1" t="s">
        <v>389</v>
      </c>
      <c r="AB71" s="1" t="s">
        <v>364</v>
      </c>
    </row>
    <row r="72" spans="1:28" x14ac:dyDescent="0.25">
      <c r="A72" s="25" t="s">
        <v>8</v>
      </c>
      <c r="B72" s="3" t="s">
        <v>237</v>
      </c>
      <c r="C72" s="10" t="s">
        <v>117</v>
      </c>
      <c r="D72" s="10" t="s">
        <v>11</v>
      </c>
      <c r="E72" s="10" t="s">
        <v>228</v>
      </c>
      <c r="F72" s="3" t="s">
        <v>229</v>
      </c>
      <c r="G72" s="3" t="s">
        <v>230</v>
      </c>
      <c r="H72" s="3" t="s">
        <v>231</v>
      </c>
      <c r="I72" s="3" t="s">
        <v>238</v>
      </c>
      <c r="J72" s="3" t="s">
        <v>239</v>
      </c>
      <c r="K72" s="3" t="s">
        <v>240</v>
      </c>
      <c r="L72" s="3" t="s">
        <v>241</v>
      </c>
      <c r="M72" s="3" t="s">
        <v>242</v>
      </c>
      <c r="N72" s="3" t="s">
        <v>243</v>
      </c>
      <c r="O72" s="3" t="s">
        <v>244</v>
      </c>
      <c r="P72" s="3" t="s">
        <v>245</v>
      </c>
      <c r="Q72" s="3" t="s">
        <v>246</v>
      </c>
      <c r="R72" s="3" t="s">
        <v>247</v>
      </c>
      <c r="S72" s="3" t="s">
        <v>248</v>
      </c>
      <c r="T72" s="3" t="s">
        <v>138</v>
      </c>
      <c r="U72" s="3" t="s">
        <v>249</v>
      </c>
      <c r="Z72" s="1">
        <v>24</v>
      </c>
      <c r="AA72" s="1" t="s">
        <v>390</v>
      </c>
      <c r="AB72" s="1" t="s">
        <v>366</v>
      </c>
    </row>
    <row r="73" spans="1:28" x14ac:dyDescent="0.25">
      <c r="A73" s="1">
        <v>73410000267</v>
      </c>
      <c r="B73" s="1">
        <v>1</v>
      </c>
      <c r="C73" s="9">
        <v>73410</v>
      </c>
      <c r="D73" s="9" t="s">
        <v>258</v>
      </c>
      <c r="E73" s="9">
        <v>50000000</v>
      </c>
      <c r="F73" s="1" t="s">
        <v>250</v>
      </c>
      <c r="G73" s="1" t="s">
        <v>250</v>
      </c>
      <c r="H73" s="1" t="s">
        <v>250</v>
      </c>
      <c r="I73" s="1" t="s">
        <v>259</v>
      </c>
      <c r="J73" s="1" t="s">
        <v>260</v>
      </c>
      <c r="K73" s="1">
        <v>680</v>
      </c>
      <c r="L73" s="1">
        <v>24</v>
      </c>
      <c r="M73" s="1" t="s">
        <v>250</v>
      </c>
      <c r="N73" s="1" t="s">
        <v>250</v>
      </c>
      <c r="O73" s="1" t="s">
        <v>250</v>
      </c>
      <c r="P73" s="1" t="s">
        <v>250</v>
      </c>
      <c r="Q73" s="1">
        <v>1</v>
      </c>
      <c r="R73" s="1" t="s">
        <v>250</v>
      </c>
      <c r="S73" s="1"/>
      <c r="T73" s="1" t="s">
        <v>261</v>
      </c>
      <c r="U73" s="1">
        <v>1</v>
      </c>
      <c r="Z73" s="1">
        <v>25</v>
      </c>
      <c r="AA73" s="1" t="s">
        <v>391</v>
      </c>
      <c r="AB73" s="1" t="s">
        <v>368</v>
      </c>
    </row>
    <row r="74" spans="1:28" x14ac:dyDescent="0.25">
      <c r="A74" s="2">
        <v>73410001387</v>
      </c>
      <c r="B74" s="1">
        <v>1</v>
      </c>
      <c r="C74" s="9">
        <v>73410</v>
      </c>
      <c r="D74" s="9" t="s">
        <v>258</v>
      </c>
      <c r="E74" s="9">
        <v>50000000</v>
      </c>
      <c r="F74" s="1" t="s">
        <v>250</v>
      </c>
      <c r="G74" s="1" t="s">
        <v>250</v>
      </c>
      <c r="H74" s="1" t="s">
        <v>250</v>
      </c>
      <c r="I74" s="1" t="s">
        <v>262</v>
      </c>
      <c r="J74" s="1" t="s">
        <v>260</v>
      </c>
      <c r="K74" s="1">
        <v>680</v>
      </c>
      <c r="L74" s="1">
        <v>24</v>
      </c>
      <c r="M74" s="1" t="s">
        <v>250</v>
      </c>
      <c r="N74" s="1" t="s">
        <v>250</v>
      </c>
      <c r="O74" s="1" t="s">
        <v>250</v>
      </c>
      <c r="P74" s="1" t="s">
        <v>250</v>
      </c>
      <c r="Q74" s="1">
        <v>1</v>
      </c>
      <c r="R74" s="1" t="s">
        <v>250</v>
      </c>
      <c r="S74" s="1"/>
      <c r="T74" s="1" t="s">
        <v>261</v>
      </c>
      <c r="U74" s="1">
        <v>1</v>
      </c>
      <c r="Z74" s="1">
        <v>26</v>
      </c>
      <c r="AA74" s="1" t="s">
        <v>392</v>
      </c>
      <c r="AB74" s="1" t="s">
        <v>370</v>
      </c>
    </row>
    <row r="75" spans="1:28" x14ac:dyDescent="0.25">
      <c r="A75" s="2">
        <v>73410003053</v>
      </c>
      <c r="B75" s="1">
        <v>1</v>
      </c>
      <c r="C75" s="9">
        <v>73410</v>
      </c>
      <c r="D75" s="9" t="s">
        <v>258</v>
      </c>
      <c r="E75" s="9">
        <v>50000000</v>
      </c>
      <c r="F75" s="1" t="s">
        <v>250</v>
      </c>
      <c r="G75" s="1" t="s">
        <v>250</v>
      </c>
      <c r="H75" s="1" t="s">
        <v>250</v>
      </c>
      <c r="I75" s="1" t="s">
        <v>263</v>
      </c>
      <c r="J75" s="1" t="s">
        <v>264</v>
      </c>
      <c r="K75" s="1">
        <v>680</v>
      </c>
      <c r="L75" s="1">
        <v>24</v>
      </c>
      <c r="M75" s="1" t="s">
        <v>250</v>
      </c>
      <c r="N75" s="1" t="s">
        <v>250</v>
      </c>
      <c r="O75" s="1" t="s">
        <v>250</v>
      </c>
      <c r="P75" s="1" t="s">
        <v>250</v>
      </c>
      <c r="Q75" s="1">
        <v>1</v>
      </c>
      <c r="R75" s="1" t="s">
        <v>250</v>
      </c>
      <c r="S75" s="1"/>
      <c r="T75" s="1" t="s">
        <v>261</v>
      </c>
      <c r="U75" s="1">
        <v>1</v>
      </c>
      <c r="Z75" s="1">
        <v>27</v>
      </c>
      <c r="AA75" s="1" t="s">
        <v>393</v>
      </c>
      <c r="AB75" s="1" t="s">
        <v>372</v>
      </c>
    </row>
    <row r="76" spans="1:28" x14ac:dyDescent="0.25">
      <c r="A76" s="2">
        <v>73410003435</v>
      </c>
      <c r="B76" s="1">
        <v>1</v>
      </c>
      <c r="C76" s="9">
        <v>73410</v>
      </c>
      <c r="D76" s="9" t="s">
        <v>258</v>
      </c>
      <c r="E76" s="9">
        <v>50000000</v>
      </c>
      <c r="F76" s="1" t="s">
        <v>250</v>
      </c>
      <c r="G76" s="1" t="s">
        <v>250</v>
      </c>
      <c r="H76" s="1" t="s">
        <v>250</v>
      </c>
      <c r="I76" s="1" t="s">
        <v>265</v>
      </c>
      <c r="J76" s="1" t="s">
        <v>264</v>
      </c>
      <c r="K76" s="1">
        <v>680</v>
      </c>
      <c r="L76" s="1">
        <v>24</v>
      </c>
      <c r="M76" s="1" t="s">
        <v>250</v>
      </c>
      <c r="N76" s="1" t="s">
        <v>250</v>
      </c>
      <c r="O76" s="1" t="s">
        <v>250</v>
      </c>
      <c r="P76" s="1" t="s">
        <v>250</v>
      </c>
      <c r="Q76" s="1">
        <v>1</v>
      </c>
      <c r="R76" s="1" t="s">
        <v>250</v>
      </c>
      <c r="S76" s="1"/>
      <c r="T76" s="1" t="s">
        <v>261</v>
      </c>
      <c r="U76" s="1">
        <v>1</v>
      </c>
      <c r="Z76" s="1">
        <v>28</v>
      </c>
      <c r="AA76" s="1" t="s">
        <v>394</v>
      </c>
      <c r="AB76" s="1" t="s">
        <v>374</v>
      </c>
    </row>
    <row r="77" spans="1:28" x14ac:dyDescent="0.25">
      <c r="A77" s="1">
        <v>73410003558</v>
      </c>
      <c r="B77" s="1">
        <v>1</v>
      </c>
      <c r="C77" s="9">
        <v>73410</v>
      </c>
      <c r="D77" s="9" t="s">
        <v>258</v>
      </c>
      <c r="E77" s="9">
        <v>50000000</v>
      </c>
      <c r="F77" s="1" t="s">
        <v>250</v>
      </c>
      <c r="G77" s="1" t="s">
        <v>250</v>
      </c>
      <c r="H77" s="1" t="s">
        <v>250</v>
      </c>
      <c r="I77" s="1" t="s">
        <v>266</v>
      </c>
      <c r="J77" s="1" t="s">
        <v>264</v>
      </c>
      <c r="K77" s="1">
        <v>680</v>
      </c>
      <c r="L77" s="1">
        <v>24</v>
      </c>
      <c r="M77" s="1" t="s">
        <v>250</v>
      </c>
      <c r="N77" s="1" t="s">
        <v>250</v>
      </c>
      <c r="O77" s="1" t="s">
        <v>250</v>
      </c>
      <c r="P77" s="1" t="s">
        <v>250</v>
      </c>
      <c r="Q77" s="1">
        <v>1</v>
      </c>
      <c r="R77" s="1" t="s">
        <v>250</v>
      </c>
      <c r="S77" s="1"/>
      <c r="T77" s="1" t="s">
        <v>261</v>
      </c>
      <c r="U77" s="1">
        <v>1</v>
      </c>
      <c r="Z77" s="1">
        <v>31</v>
      </c>
      <c r="AA77" s="1" t="s">
        <v>395</v>
      </c>
      <c r="AB77" s="1" t="s">
        <v>360</v>
      </c>
    </row>
    <row r="78" spans="1:28" x14ac:dyDescent="0.25">
      <c r="A78" s="1">
        <v>73410005002</v>
      </c>
      <c r="B78" s="1">
        <v>1</v>
      </c>
      <c r="C78" s="9">
        <v>73410</v>
      </c>
      <c r="D78" s="9" t="s">
        <v>258</v>
      </c>
      <c r="E78" s="9">
        <v>50000000</v>
      </c>
      <c r="F78" s="1" t="s">
        <v>250</v>
      </c>
      <c r="G78" s="1" t="s">
        <v>250</v>
      </c>
      <c r="H78" s="1" t="s">
        <v>250</v>
      </c>
      <c r="I78" s="1" t="s">
        <v>267</v>
      </c>
      <c r="J78" s="1" t="s">
        <v>268</v>
      </c>
      <c r="K78" s="1" t="s">
        <v>250</v>
      </c>
      <c r="L78" s="1">
        <v>32</v>
      </c>
      <c r="M78" s="1" t="s">
        <v>250</v>
      </c>
      <c r="N78" s="1" t="s">
        <v>250</v>
      </c>
      <c r="O78" s="1" t="s">
        <v>250</v>
      </c>
      <c r="P78" s="1" t="s">
        <v>250</v>
      </c>
      <c r="Q78" s="1">
        <v>1</v>
      </c>
      <c r="R78" s="1" t="s">
        <v>250</v>
      </c>
      <c r="S78" s="1"/>
      <c r="T78" s="1" t="s">
        <v>261</v>
      </c>
      <c r="U78" s="1">
        <v>1</v>
      </c>
      <c r="Z78" s="1">
        <v>32</v>
      </c>
      <c r="AA78" s="1" t="s">
        <v>396</v>
      </c>
      <c r="AB78" s="1" t="s">
        <v>362</v>
      </c>
    </row>
    <row r="79" spans="1:28" x14ac:dyDescent="0.25">
      <c r="A79" s="1">
        <v>73410012604</v>
      </c>
      <c r="B79" s="1">
        <v>1</v>
      </c>
      <c r="C79" s="9">
        <v>73410</v>
      </c>
      <c r="D79" s="9" t="s">
        <v>258</v>
      </c>
      <c r="E79" s="9">
        <v>50000000</v>
      </c>
      <c r="F79" s="1" t="s">
        <v>250</v>
      </c>
      <c r="G79" s="1" t="s">
        <v>250</v>
      </c>
      <c r="H79" s="1" t="s">
        <v>250</v>
      </c>
      <c r="I79" s="1" t="s">
        <v>269</v>
      </c>
      <c r="J79" s="1" t="s">
        <v>270</v>
      </c>
      <c r="K79" s="1">
        <v>454</v>
      </c>
      <c r="L79" s="1">
        <v>16</v>
      </c>
      <c r="M79" s="1" t="s">
        <v>250</v>
      </c>
      <c r="N79" s="1" t="s">
        <v>250</v>
      </c>
      <c r="O79" s="1" t="s">
        <v>250</v>
      </c>
      <c r="P79" s="1" t="s">
        <v>250</v>
      </c>
      <c r="Q79" s="1">
        <v>1</v>
      </c>
      <c r="R79" s="1" t="s">
        <v>250</v>
      </c>
      <c r="S79" s="1"/>
      <c r="T79" s="1" t="s">
        <v>261</v>
      </c>
      <c r="U79" s="1">
        <v>1</v>
      </c>
      <c r="Z79" s="1">
        <v>33</v>
      </c>
      <c r="AA79" s="1" t="s">
        <v>397</v>
      </c>
      <c r="AB79" s="1" t="s">
        <v>364</v>
      </c>
    </row>
    <row r="80" spans="1:28" x14ac:dyDescent="0.25">
      <c r="A80" s="1">
        <v>73410013090</v>
      </c>
      <c r="B80" s="1">
        <v>1</v>
      </c>
      <c r="C80" s="9">
        <v>73410</v>
      </c>
      <c r="D80" s="9" t="s">
        <v>258</v>
      </c>
      <c r="E80" s="9">
        <v>50000000</v>
      </c>
      <c r="F80" s="1" t="s">
        <v>250</v>
      </c>
      <c r="G80" s="1" t="s">
        <v>250</v>
      </c>
      <c r="H80" s="1" t="s">
        <v>250</v>
      </c>
      <c r="I80" s="1" t="s">
        <v>271</v>
      </c>
      <c r="J80" s="1" t="s">
        <v>260</v>
      </c>
      <c r="K80" s="1">
        <v>680</v>
      </c>
      <c r="L80" s="1">
        <v>24</v>
      </c>
      <c r="M80" s="1" t="s">
        <v>250</v>
      </c>
      <c r="N80" s="1" t="s">
        <v>250</v>
      </c>
      <c r="O80" s="1" t="s">
        <v>250</v>
      </c>
      <c r="P80" s="1" t="s">
        <v>250</v>
      </c>
      <c r="Q80" s="1">
        <v>1</v>
      </c>
      <c r="R80" s="1" t="s">
        <v>250</v>
      </c>
      <c r="S80" s="1"/>
      <c r="T80" s="1" t="s">
        <v>261</v>
      </c>
      <c r="U80" s="1">
        <v>1</v>
      </c>
      <c r="Z80" s="1">
        <v>34</v>
      </c>
      <c r="AA80" s="1" t="s">
        <v>398</v>
      </c>
      <c r="AB80" s="1" t="s">
        <v>366</v>
      </c>
    </row>
    <row r="81" spans="1:28" x14ac:dyDescent="0.25">
      <c r="A81" s="1">
        <v>73410013502</v>
      </c>
      <c r="B81" s="1">
        <v>1</v>
      </c>
      <c r="C81" s="9">
        <v>73410</v>
      </c>
      <c r="D81" s="9" t="s">
        <v>258</v>
      </c>
      <c r="E81" s="9">
        <v>50000000</v>
      </c>
      <c r="F81" s="1" t="s">
        <v>250</v>
      </c>
      <c r="G81" s="1" t="s">
        <v>250</v>
      </c>
      <c r="H81" s="1" t="s">
        <v>250</v>
      </c>
      <c r="I81" s="1" t="s">
        <v>272</v>
      </c>
      <c r="J81" s="1" t="s">
        <v>273</v>
      </c>
      <c r="K81" s="1">
        <v>680</v>
      </c>
      <c r="L81" s="1">
        <v>24</v>
      </c>
      <c r="M81" s="1" t="s">
        <v>250</v>
      </c>
      <c r="N81" s="1" t="s">
        <v>250</v>
      </c>
      <c r="O81" s="1" t="s">
        <v>250</v>
      </c>
      <c r="P81" s="1" t="s">
        <v>250</v>
      </c>
      <c r="Q81" s="1">
        <v>1</v>
      </c>
      <c r="R81" s="1" t="s">
        <v>250</v>
      </c>
      <c r="S81" s="1"/>
      <c r="T81" s="1" t="s">
        <v>261</v>
      </c>
      <c r="U81" s="1">
        <v>1</v>
      </c>
      <c r="Z81" s="1">
        <v>35</v>
      </c>
      <c r="AA81" s="1" t="s">
        <v>399</v>
      </c>
      <c r="AB81" s="1" t="s">
        <v>368</v>
      </c>
    </row>
    <row r="82" spans="1:28" x14ac:dyDescent="0.25">
      <c r="A82" s="1">
        <v>73410013519</v>
      </c>
      <c r="B82" s="1">
        <v>1</v>
      </c>
      <c r="C82" s="9">
        <v>73410</v>
      </c>
      <c r="D82" s="9" t="s">
        <v>258</v>
      </c>
      <c r="E82" s="9">
        <v>50000000</v>
      </c>
      <c r="F82" s="1" t="s">
        <v>250</v>
      </c>
      <c r="G82" s="1" t="s">
        <v>250</v>
      </c>
      <c r="H82" s="1" t="s">
        <v>250</v>
      </c>
      <c r="I82" s="1" t="s">
        <v>274</v>
      </c>
      <c r="J82" s="1" t="s">
        <v>273</v>
      </c>
      <c r="K82" s="1">
        <v>680</v>
      </c>
      <c r="L82" s="1">
        <v>24</v>
      </c>
      <c r="M82" s="1" t="s">
        <v>250</v>
      </c>
      <c r="N82" s="1" t="s">
        <v>250</v>
      </c>
      <c r="O82" s="1" t="s">
        <v>250</v>
      </c>
      <c r="P82" s="1" t="s">
        <v>250</v>
      </c>
      <c r="Q82" s="1">
        <v>1</v>
      </c>
      <c r="R82" s="1" t="s">
        <v>250</v>
      </c>
      <c r="S82" s="1"/>
      <c r="T82" s="1" t="s">
        <v>261</v>
      </c>
      <c r="U82" s="1">
        <v>1</v>
      </c>
      <c r="Z82" s="1">
        <v>36</v>
      </c>
      <c r="AA82" s="1" t="s">
        <v>400</v>
      </c>
      <c r="AB82" s="1" t="s">
        <v>370</v>
      </c>
    </row>
    <row r="83" spans="1:28" x14ac:dyDescent="0.25">
      <c r="A83" s="1">
        <v>73410013540</v>
      </c>
      <c r="B83" s="1">
        <v>1</v>
      </c>
      <c r="C83" s="9">
        <v>73410</v>
      </c>
      <c r="D83" s="9" t="s">
        <v>258</v>
      </c>
      <c r="E83" s="9">
        <v>50000000</v>
      </c>
      <c r="F83" s="1" t="s">
        <v>250</v>
      </c>
      <c r="G83" s="1" t="s">
        <v>250</v>
      </c>
      <c r="H83" s="1" t="s">
        <v>250</v>
      </c>
      <c r="I83" s="1" t="s">
        <v>275</v>
      </c>
      <c r="J83" s="1" t="s">
        <v>273</v>
      </c>
      <c r="K83" s="1">
        <v>680</v>
      </c>
      <c r="L83" s="1">
        <v>24</v>
      </c>
      <c r="M83" s="1" t="s">
        <v>250</v>
      </c>
      <c r="N83" s="1" t="s">
        <v>250</v>
      </c>
      <c r="O83" s="1" t="s">
        <v>250</v>
      </c>
      <c r="P83" s="1" t="s">
        <v>250</v>
      </c>
      <c r="Q83" s="1">
        <v>1</v>
      </c>
      <c r="R83" s="1" t="s">
        <v>250</v>
      </c>
      <c r="S83" s="1"/>
      <c r="T83" s="1" t="s">
        <v>261</v>
      </c>
      <c r="U83" s="1">
        <v>1</v>
      </c>
      <c r="Z83" s="1">
        <v>37</v>
      </c>
      <c r="AA83" s="1" t="s">
        <v>401</v>
      </c>
      <c r="AB83" s="1" t="s">
        <v>372</v>
      </c>
    </row>
    <row r="84" spans="1:28" x14ac:dyDescent="0.25">
      <c r="A84" s="1">
        <v>73410013557</v>
      </c>
      <c r="B84" s="1">
        <v>1</v>
      </c>
      <c r="C84" s="9">
        <v>73410</v>
      </c>
      <c r="D84" s="9" t="s">
        <v>258</v>
      </c>
      <c r="E84" s="9">
        <v>50000000</v>
      </c>
      <c r="F84" s="1" t="s">
        <v>250</v>
      </c>
      <c r="G84" s="1" t="s">
        <v>250</v>
      </c>
      <c r="H84" s="1" t="s">
        <v>250</v>
      </c>
      <c r="I84" s="1" t="s">
        <v>276</v>
      </c>
      <c r="J84" s="1" t="s">
        <v>260</v>
      </c>
      <c r="K84" s="1">
        <v>680</v>
      </c>
      <c r="L84" s="1">
        <v>24</v>
      </c>
      <c r="M84" s="1" t="s">
        <v>250</v>
      </c>
      <c r="N84" s="1" t="s">
        <v>250</v>
      </c>
      <c r="O84" s="1" t="s">
        <v>250</v>
      </c>
      <c r="P84" s="1" t="s">
        <v>250</v>
      </c>
      <c r="Q84" s="1">
        <v>1</v>
      </c>
      <c r="R84" s="1" t="s">
        <v>250</v>
      </c>
      <c r="S84" s="1"/>
      <c r="T84" s="1" t="s">
        <v>261</v>
      </c>
      <c r="U84" s="1">
        <v>1</v>
      </c>
      <c r="Z84" s="1">
        <v>38</v>
      </c>
      <c r="AA84" s="1" t="s">
        <v>402</v>
      </c>
      <c r="AB84" s="1" t="s">
        <v>374</v>
      </c>
    </row>
    <row r="85" spans="1:28" x14ac:dyDescent="0.25">
      <c r="A85" s="1">
        <v>73410013656</v>
      </c>
      <c r="B85" s="1">
        <v>1</v>
      </c>
      <c r="C85" s="9">
        <v>73410</v>
      </c>
      <c r="D85" s="9" t="s">
        <v>258</v>
      </c>
      <c r="E85" s="9">
        <v>50000000</v>
      </c>
      <c r="F85" s="1" t="s">
        <v>250</v>
      </c>
      <c r="G85" s="1" t="s">
        <v>250</v>
      </c>
      <c r="H85" s="1" t="s">
        <v>250</v>
      </c>
      <c r="I85" s="1" t="s">
        <v>277</v>
      </c>
      <c r="J85" s="1" t="s">
        <v>260</v>
      </c>
      <c r="K85" s="1">
        <v>680</v>
      </c>
      <c r="L85" s="1">
        <v>24</v>
      </c>
      <c r="M85" s="1" t="s">
        <v>250</v>
      </c>
      <c r="N85" s="1" t="s">
        <v>250</v>
      </c>
      <c r="O85" s="1" t="s">
        <v>250</v>
      </c>
      <c r="P85" s="1" t="s">
        <v>250</v>
      </c>
      <c r="Q85" s="1">
        <v>1</v>
      </c>
      <c r="R85" s="1" t="s">
        <v>250</v>
      </c>
      <c r="S85" s="1"/>
      <c r="T85" s="1" t="s">
        <v>261</v>
      </c>
      <c r="U85" s="1">
        <v>1</v>
      </c>
      <c r="Z85" s="1">
        <v>40</v>
      </c>
      <c r="AA85" s="1" t="s">
        <v>403</v>
      </c>
      <c r="AB85" s="1"/>
    </row>
    <row r="86" spans="1:28" x14ac:dyDescent="0.25">
      <c r="A86" s="1">
        <v>73410013748</v>
      </c>
      <c r="B86" s="1">
        <v>1</v>
      </c>
      <c r="C86" s="9">
        <v>73410</v>
      </c>
      <c r="D86" s="9" t="s">
        <v>258</v>
      </c>
      <c r="E86" s="9">
        <v>50000000</v>
      </c>
      <c r="F86" s="1" t="s">
        <v>250</v>
      </c>
      <c r="G86" s="1" t="s">
        <v>250</v>
      </c>
      <c r="H86" s="1" t="s">
        <v>250</v>
      </c>
      <c r="I86" s="1" t="s">
        <v>278</v>
      </c>
      <c r="J86" s="1" t="s">
        <v>260</v>
      </c>
      <c r="K86" s="1">
        <v>680</v>
      </c>
      <c r="L86" s="1">
        <v>24</v>
      </c>
      <c r="M86" s="1" t="s">
        <v>250</v>
      </c>
      <c r="N86" s="1" t="s">
        <v>250</v>
      </c>
      <c r="O86" s="1" t="s">
        <v>250</v>
      </c>
      <c r="P86" s="1" t="s">
        <v>250</v>
      </c>
      <c r="Q86" s="1">
        <v>1</v>
      </c>
      <c r="R86" s="1" t="s">
        <v>250</v>
      </c>
      <c r="S86" s="1"/>
      <c r="T86" s="1" t="s">
        <v>261</v>
      </c>
      <c r="U86" s="1">
        <v>1</v>
      </c>
      <c r="Z86" s="1">
        <v>41</v>
      </c>
      <c r="AA86" s="1" t="s">
        <v>404</v>
      </c>
      <c r="AB86" s="1"/>
    </row>
    <row r="87" spans="1:28" x14ac:dyDescent="0.25">
      <c r="A87" s="1">
        <v>73410013755</v>
      </c>
      <c r="B87" s="1">
        <v>1</v>
      </c>
      <c r="C87" s="9">
        <v>73410</v>
      </c>
      <c r="D87" s="9" t="s">
        <v>258</v>
      </c>
      <c r="E87" s="9">
        <v>50000000</v>
      </c>
      <c r="F87" s="1" t="s">
        <v>250</v>
      </c>
      <c r="G87" s="1" t="s">
        <v>250</v>
      </c>
      <c r="H87" s="1" t="s">
        <v>250</v>
      </c>
      <c r="I87" s="1" t="s">
        <v>272</v>
      </c>
      <c r="J87" s="1" t="s">
        <v>260</v>
      </c>
      <c r="K87" s="1">
        <v>680</v>
      </c>
      <c r="L87" s="1">
        <v>24</v>
      </c>
      <c r="M87" s="1" t="s">
        <v>250</v>
      </c>
      <c r="N87" s="1" t="s">
        <v>250</v>
      </c>
      <c r="O87" s="1" t="s">
        <v>250</v>
      </c>
      <c r="P87" s="1" t="s">
        <v>250</v>
      </c>
      <c r="Q87" s="1">
        <v>1</v>
      </c>
      <c r="R87" s="1" t="s">
        <v>250</v>
      </c>
      <c r="S87" s="1"/>
      <c r="T87" s="1" t="s">
        <v>261</v>
      </c>
      <c r="U87" s="1">
        <v>1</v>
      </c>
      <c r="Z87" s="1">
        <v>42</v>
      </c>
      <c r="AA87" s="1" t="s">
        <v>405</v>
      </c>
      <c r="AB87" s="1"/>
    </row>
    <row r="88" spans="1:28" x14ac:dyDescent="0.25">
      <c r="A88" s="1">
        <v>73410013854</v>
      </c>
      <c r="B88" s="1">
        <v>1</v>
      </c>
      <c r="C88" s="9">
        <v>73410</v>
      </c>
      <c r="D88" s="9" t="s">
        <v>258</v>
      </c>
      <c r="E88" s="9">
        <v>50000000</v>
      </c>
      <c r="F88" s="1" t="s">
        <v>250</v>
      </c>
      <c r="G88" s="1" t="s">
        <v>250</v>
      </c>
      <c r="H88" s="1" t="s">
        <v>250</v>
      </c>
      <c r="I88" s="1" t="s">
        <v>279</v>
      </c>
      <c r="J88" s="1" t="s">
        <v>260</v>
      </c>
      <c r="K88" s="1">
        <v>680</v>
      </c>
      <c r="L88" s="1">
        <v>24</v>
      </c>
      <c r="M88" s="1" t="s">
        <v>250</v>
      </c>
      <c r="N88" s="1" t="s">
        <v>250</v>
      </c>
      <c r="O88" s="1" t="s">
        <v>250</v>
      </c>
      <c r="P88" s="1" t="s">
        <v>250</v>
      </c>
      <c r="Q88" s="1">
        <v>1</v>
      </c>
      <c r="R88" s="1" t="s">
        <v>250</v>
      </c>
      <c r="S88" s="1"/>
      <c r="T88" s="1" t="s">
        <v>261</v>
      </c>
      <c r="U88" s="1">
        <v>1</v>
      </c>
      <c r="Z88" s="1">
        <v>43</v>
      </c>
      <c r="AA88" s="1" t="s">
        <v>406</v>
      </c>
      <c r="AB88" s="1"/>
    </row>
    <row r="89" spans="1:28" x14ac:dyDescent="0.25">
      <c r="A89" s="1">
        <v>73410022504</v>
      </c>
      <c r="B89" s="1">
        <v>1</v>
      </c>
      <c r="C89" s="9">
        <v>73410</v>
      </c>
      <c r="D89" s="9" t="s">
        <v>258</v>
      </c>
      <c r="E89" s="9">
        <v>50000000</v>
      </c>
      <c r="F89" s="1" t="s">
        <v>250</v>
      </c>
      <c r="G89" s="1" t="s">
        <v>250</v>
      </c>
      <c r="H89" s="1" t="s">
        <v>250</v>
      </c>
      <c r="I89" s="1" t="s">
        <v>280</v>
      </c>
      <c r="J89" s="1" t="s">
        <v>268</v>
      </c>
      <c r="K89" s="1">
        <v>454</v>
      </c>
      <c r="L89" s="1">
        <v>16</v>
      </c>
      <c r="M89" s="1" t="s">
        <v>250</v>
      </c>
      <c r="N89" s="1" t="s">
        <v>250</v>
      </c>
      <c r="O89" s="1" t="s">
        <v>250</v>
      </c>
      <c r="P89" s="1" t="s">
        <v>250</v>
      </c>
      <c r="Q89" s="1">
        <v>1</v>
      </c>
      <c r="R89" s="1" t="s">
        <v>250</v>
      </c>
      <c r="S89" s="1"/>
      <c r="T89" s="1" t="s">
        <v>261</v>
      </c>
      <c r="U89" s="1">
        <v>1</v>
      </c>
      <c r="Z89" s="1">
        <v>44</v>
      </c>
      <c r="AA89" s="1" t="s">
        <v>407</v>
      </c>
      <c r="AB89" s="1"/>
    </row>
    <row r="90" spans="1:28" x14ac:dyDescent="0.25">
      <c r="A90" s="1">
        <v>73410025505</v>
      </c>
      <c r="B90" s="1">
        <v>1</v>
      </c>
      <c r="C90" s="9">
        <v>73410</v>
      </c>
      <c r="D90" s="9" t="s">
        <v>258</v>
      </c>
      <c r="E90" s="9">
        <v>50000000</v>
      </c>
      <c r="F90" s="1" t="s">
        <v>250</v>
      </c>
      <c r="G90" s="1" t="s">
        <v>250</v>
      </c>
      <c r="H90" s="1" t="s">
        <v>250</v>
      </c>
      <c r="I90" s="1" t="s">
        <v>281</v>
      </c>
      <c r="J90" s="1" t="s">
        <v>282</v>
      </c>
      <c r="K90" s="1">
        <v>624</v>
      </c>
      <c r="L90" s="1">
        <v>22</v>
      </c>
      <c r="M90" s="1" t="s">
        <v>250</v>
      </c>
      <c r="N90" s="1" t="s">
        <v>250</v>
      </c>
      <c r="O90" s="1" t="s">
        <v>250</v>
      </c>
      <c r="P90" s="1" t="s">
        <v>250</v>
      </c>
      <c r="Q90" s="1">
        <v>1</v>
      </c>
      <c r="R90" s="1" t="s">
        <v>250</v>
      </c>
      <c r="S90" s="1"/>
      <c r="T90" s="1" t="s">
        <v>261</v>
      </c>
      <c r="U90" s="1">
        <v>1</v>
      </c>
      <c r="Z90" s="1">
        <v>45</v>
      </c>
      <c r="AA90" s="1" t="s">
        <v>408</v>
      </c>
      <c r="AB90" s="1"/>
    </row>
    <row r="91" spans="1:28" x14ac:dyDescent="0.25">
      <c r="A91" s="1">
        <v>73410025529</v>
      </c>
      <c r="B91" s="1">
        <v>1</v>
      </c>
      <c r="C91" s="9">
        <v>73410</v>
      </c>
      <c r="D91" s="9" t="s">
        <v>258</v>
      </c>
      <c r="E91" s="9">
        <v>50000000</v>
      </c>
      <c r="F91" s="1" t="s">
        <v>250</v>
      </c>
      <c r="G91" s="1" t="s">
        <v>250</v>
      </c>
      <c r="H91" s="1" t="s">
        <v>250</v>
      </c>
      <c r="I91" s="1" t="s">
        <v>283</v>
      </c>
      <c r="J91" s="1" t="s">
        <v>282</v>
      </c>
      <c r="K91" s="1">
        <v>624</v>
      </c>
      <c r="L91" s="1">
        <v>22</v>
      </c>
      <c r="M91" s="1" t="s">
        <v>250</v>
      </c>
      <c r="N91" s="1" t="s">
        <v>250</v>
      </c>
      <c r="O91" s="1" t="s">
        <v>250</v>
      </c>
      <c r="P91" s="1" t="s">
        <v>250</v>
      </c>
      <c r="Q91" s="1">
        <v>1</v>
      </c>
      <c r="R91" s="1" t="s">
        <v>250</v>
      </c>
      <c r="S91" s="1"/>
      <c r="T91" s="1" t="s">
        <v>261</v>
      </c>
      <c r="U91" s="1">
        <v>1</v>
      </c>
    </row>
    <row r="92" spans="1:28" x14ac:dyDescent="0.25">
      <c r="A92" s="1">
        <v>73410025543</v>
      </c>
      <c r="B92" s="1">
        <v>1</v>
      </c>
      <c r="C92" s="9">
        <v>73410</v>
      </c>
      <c r="D92" s="9" t="s">
        <v>258</v>
      </c>
      <c r="E92" s="9">
        <v>50000000</v>
      </c>
      <c r="F92" s="1" t="s">
        <v>250</v>
      </c>
      <c r="G92" s="1" t="s">
        <v>250</v>
      </c>
      <c r="H92" s="1" t="s">
        <v>250</v>
      </c>
      <c r="I92" s="1" t="s">
        <v>284</v>
      </c>
      <c r="J92" s="1" t="s">
        <v>282</v>
      </c>
      <c r="K92" s="1">
        <v>624</v>
      </c>
      <c r="L92" s="1">
        <v>22</v>
      </c>
      <c r="M92" s="1" t="s">
        <v>250</v>
      </c>
      <c r="N92" s="1" t="s">
        <v>250</v>
      </c>
      <c r="O92" s="1" t="s">
        <v>250</v>
      </c>
      <c r="P92" s="1" t="s">
        <v>250</v>
      </c>
      <c r="Q92" s="1">
        <v>1</v>
      </c>
      <c r="R92" s="1" t="s">
        <v>250</v>
      </c>
      <c r="S92" s="1"/>
      <c r="T92" s="1" t="s">
        <v>261</v>
      </c>
      <c r="U92" s="1">
        <v>1</v>
      </c>
    </row>
    <row r="93" spans="1:28" x14ac:dyDescent="0.25">
      <c r="A93" s="4"/>
      <c r="B93" s="4"/>
      <c r="C93" s="18"/>
      <c r="D93" s="18"/>
      <c r="E93" s="18"/>
      <c r="F93" s="4"/>
      <c r="G93" s="4"/>
      <c r="H93" s="4"/>
      <c r="I93" s="4"/>
      <c r="J93" s="4"/>
      <c r="K93" s="4"/>
      <c r="L93" s="4"/>
      <c r="M93" s="4"/>
      <c r="N93" s="4"/>
      <c r="O93" s="4"/>
      <c r="P93" s="4"/>
      <c r="Q93" s="4"/>
      <c r="R93" s="4"/>
      <c r="S93" s="4"/>
      <c r="T93" s="4"/>
      <c r="U93" s="4"/>
    </row>
    <row r="94" spans="1:28" x14ac:dyDescent="0.25">
      <c r="A94" s="1" t="s">
        <v>7</v>
      </c>
      <c r="B94" s="20" t="s">
        <v>111</v>
      </c>
      <c r="C94" s="7"/>
      <c r="D94" s="7"/>
      <c r="E94" s="7"/>
    </row>
    <row r="95" spans="1:28" x14ac:dyDescent="0.25">
      <c r="A95" s="1" t="s">
        <v>410</v>
      </c>
      <c r="B95" s="1" t="str">
        <f>+VLOOKUP(B94,$E$3:$H$18,4,FALSE)</f>
        <v xml:space="preserve">GTIN_CD , </v>
      </c>
      <c r="C95" s="7"/>
      <c r="D95" s="7"/>
      <c r="E95" s="7"/>
    </row>
    <row r="96" spans="1:28" x14ac:dyDescent="0.25">
      <c r="A96" s="1" t="s">
        <v>113</v>
      </c>
      <c r="B96" s="21">
        <f>VLOOKUP(B94,$A$3:$B$18,2,)</f>
        <v>231</v>
      </c>
      <c r="C96" s="7"/>
      <c r="D96" s="7"/>
      <c r="E96" s="7"/>
    </row>
    <row r="97" spans="1:30" x14ac:dyDescent="0.25">
      <c r="A97" s="25" t="s">
        <v>8</v>
      </c>
      <c r="B97" s="3" t="s">
        <v>285</v>
      </c>
      <c r="C97" s="10" t="s">
        <v>286</v>
      </c>
      <c r="D97" s="10" t="s">
        <v>287</v>
      </c>
      <c r="E97" s="10" t="s">
        <v>288</v>
      </c>
      <c r="F97" s="3" t="s">
        <v>289</v>
      </c>
      <c r="G97" s="3" t="s">
        <v>290</v>
      </c>
      <c r="H97" s="3" t="s">
        <v>291</v>
      </c>
      <c r="I97" s="3" t="s">
        <v>292</v>
      </c>
      <c r="J97" s="3" t="s">
        <v>293</v>
      </c>
      <c r="K97" s="3" t="s">
        <v>294</v>
      </c>
      <c r="L97" s="3" t="s">
        <v>295</v>
      </c>
      <c r="M97" s="3" t="s">
        <v>296</v>
      </c>
      <c r="N97" s="3" t="s">
        <v>297</v>
      </c>
      <c r="O97" s="3" t="s">
        <v>298</v>
      </c>
      <c r="P97" s="3" t="s">
        <v>299</v>
      </c>
      <c r="Q97" s="3" t="s">
        <v>300</v>
      </c>
      <c r="R97" s="3" t="s">
        <v>301</v>
      </c>
      <c r="S97" s="3" t="s">
        <v>302</v>
      </c>
      <c r="T97" s="3" t="s">
        <v>303</v>
      </c>
      <c r="U97" s="3" t="s">
        <v>304</v>
      </c>
      <c r="V97" s="3" t="s">
        <v>305</v>
      </c>
      <c r="W97" s="3" t="s">
        <v>306</v>
      </c>
      <c r="X97" s="3" t="s">
        <v>307</v>
      </c>
      <c r="Y97" s="3" t="s">
        <v>308</v>
      </c>
      <c r="Z97" s="3" t="s">
        <v>309</v>
      </c>
      <c r="AA97" s="3" t="s">
        <v>310</v>
      </c>
      <c r="AB97" s="3" t="s">
        <v>311</v>
      </c>
      <c r="AC97" s="3" t="s">
        <v>138</v>
      </c>
      <c r="AD97" s="3" t="s">
        <v>139</v>
      </c>
    </row>
    <row r="98" spans="1:30" x14ac:dyDescent="0.25">
      <c r="A98" s="1">
        <v>73410000267</v>
      </c>
      <c r="B98" s="1" t="s">
        <v>312</v>
      </c>
      <c r="C98" s="9">
        <v>43</v>
      </c>
      <c r="D98" s="9">
        <v>0</v>
      </c>
      <c r="E98" s="9">
        <v>16</v>
      </c>
      <c r="F98" s="1">
        <v>110</v>
      </c>
      <c r="G98" s="1">
        <v>15</v>
      </c>
      <c r="H98" s="1">
        <v>1.5</v>
      </c>
      <c r="I98" s="1">
        <v>2</v>
      </c>
      <c r="J98" s="1">
        <v>0</v>
      </c>
      <c r="K98" s="1">
        <v>0</v>
      </c>
      <c r="L98" s="1">
        <v>0</v>
      </c>
      <c r="M98" s="1">
        <v>0</v>
      </c>
      <c r="N98" s="1">
        <v>0</v>
      </c>
      <c r="O98" s="1">
        <v>170</v>
      </c>
      <c r="P98" s="1">
        <v>7</v>
      </c>
      <c r="Q98" s="1">
        <v>0</v>
      </c>
      <c r="R98" s="1">
        <v>0</v>
      </c>
      <c r="S98" s="1">
        <v>21</v>
      </c>
      <c r="T98" s="1">
        <v>7</v>
      </c>
      <c r="U98" s="1">
        <v>3</v>
      </c>
      <c r="V98" s="1">
        <v>12</v>
      </c>
      <c r="W98" s="1">
        <v>3</v>
      </c>
      <c r="X98" s="1">
        <v>5</v>
      </c>
      <c r="Y98" s="1">
        <v>0</v>
      </c>
      <c r="Z98" s="1">
        <v>0</v>
      </c>
      <c r="AA98" s="1">
        <v>4</v>
      </c>
      <c r="AB98" s="1">
        <v>6</v>
      </c>
      <c r="AC98" s="1" t="s">
        <v>313</v>
      </c>
      <c r="AD98" s="8">
        <v>41557</v>
      </c>
    </row>
    <row r="99" spans="1:30" x14ac:dyDescent="0.25">
      <c r="A99" s="1">
        <v>73410001387</v>
      </c>
      <c r="B99" s="1" t="s">
        <v>314</v>
      </c>
      <c r="C99" s="9">
        <v>43</v>
      </c>
      <c r="D99" s="9">
        <v>0</v>
      </c>
      <c r="E99" s="9">
        <v>16</v>
      </c>
      <c r="F99" s="1">
        <v>110</v>
      </c>
      <c r="G99" s="1">
        <v>15</v>
      </c>
      <c r="H99" s="1">
        <v>1.5</v>
      </c>
      <c r="I99" s="1">
        <v>2</v>
      </c>
      <c r="J99" s="1">
        <v>0</v>
      </c>
      <c r="K99" s="1">
        <v>0</v>
      </c>
      <c r="L99" s="1">
        <v>0</v>
      </c>
      <c r="M99" s="1">
        <v>0</v>
      </c>
      <c r="N99" s="1">
        <v>0</v>
      </c>
      <c r="O99" s="1">
        <v>150</v>
      </c>
      <c r="P99" s="1">
        <v>6</v>
      </c>
      <c r="Q99" s="1">
        <v>0</v>
      </c>
      <c r="R99" s="1">
        <v>0</v>
      </c>
      <c r="S99" s="1">
        <v>21</v>
      </c>
      <c r="T99" s="1">
        <v>7</v>
      </c>
      <c r="U99" s="1">
        <v>3</v>
      </c>
      <c r="V99" s="1">
        <v>12</v>
      </c>
      <c r="W99" s="1">
        <v>3</v>
      </c>
      <c r="X99" s="1">
        <v>4</v>
      </c>
      <c r="Y99" s="1">
        <v>0</v>
      </c>
      <c r="Z99" s="1">
        <v>0</v>
      </c>
      <c r="AA99" s="1">
        <v>4</v>
      </c>
      <c r="AB99" s="1">
        <v>8</v>
      </c>
      <c r="AC99" s="1" t="s">
        <v>315</v>
      </c>
      <c r="AD99" s="8">
        <v>41557</v>
      </c>
    </row>
    <row r="100" spans="1:30" x14ac:dyDescent="0.25">
      <c r="A100" s="1">
        <v>73410003053</v>
      </c>
      <c r="B100" s="1" t="s">
        <v>316</v>
      </c>
      <c r="C100" s="9">
        <v>43</v>
      </c>
      <c r="D100" s="9">
        <v>0</v>
      </c>
      <c r="E100" s="9">
        <v>16</v>
      </c>
      <c r="F100" s="1">
        <v>1.5</v>
      </c>
      <c r="G100" s="1">
        <v>2</v>
      </c>
      <c r="H100" s="1">
        <v>0</v>
      </c>
      <c r="I100" s="1">
        <v>0</v>
      </c>
      <c r="J100" s="1">
        <v>0</v>
      </c>
      <c r="K100" s="1">
        <v>0</v>
      </c>
      <c r="L100" s="1">
        <v>0</v>
      </c>
      <c r="M100" s="1">
        <v>0</v>
      </c>
      <c r="N100" s="1">
        <v>0</v>
      </c>
      <c r="O100" s="1">
        <v>150</v>
      </c>
      <c r="P100" s="1">
        <v>6</v>
      </c>
      <c r="Q100" s="1">
        <v>0</v>
      </c>
      <c r="R100" s="1">
        <v>0</v>
      </c>
      <c r="S100" s="1">
        <v>22</v>
      </c>
      <c r="T100" s="1">
        <v>7</v>
      </c>
      <c r="U100" s="1">
        <v>0.99</v>
      </c>
      <c r="V100" s="1">
        <v>3</v>
      </c>
      <c r="W100" s="1">
        <v>3</v>
      </c>
      <c r="X100" s="1">
        <v>3</v>
      </c>
      <c r="Y100" s="1">
        <v>0</v>
      </c>
      <c r="Z100" s="1">
        <v>0</v>
      </c>
      <c r="AA100" s="1">
        <v>4</v>
      </c>
      <c r="AB100" s="1">
        <v>8</v>
      </c>
      <c r="AC100" s="1" t="s">
        <v>317</v>
      </c>
      <c r="AD100" s="8">
        <v>41557</v>
      </c>
    </row>
    <row r="101" spans="1:30" x14ac:dyDescent="0.25">
      <c r="A101" s="1">
        <v>73410003435</v>
      </c>
      <c r="B101" s="1" t="s">
        <v>318</v>
      </c>
      <c r="C101" s="9">
        <v>43</v>
      </c>
      <c r="D101" s="9">
        <v>0</v>
      </c>
      <c r="E101" s="9">
        <v>16</v>
      </c>
      <c r="F101" s="1">
        <v>1.5</v>
      </c>
      <c r="G101" s="1">
        <v>2</v>
      </c>
      <c r="H101" s="1">
        <v>0</v>
      </c>
      <c r="I101" s="1">
        <v>0</v>
      </c>
      <c r="J101" s="1">
        <v>0</v>
      </c>
      <c r="K101" s="1">
        <v>0</v>
      </c>
      <c r="L101" s="1">
        <v>0</v>
      </c>
      <c r="M101" s="1">
        <v>0</v>
      </c>
      <c r="N101" s="1">
        <v>0</v>
      </c>
      <c r="O101" s="1">
        <v>150</v>
      </c>
      <c r="P101" s="1">
        <v>6</v>
      </c>
      <c r="Q101" s="1">
        <v>0</v>
      </c>
      <c r="R101" s="1">
        <v>0</v>
      </c>
      <c r="S101" s="1">
        <v>21</v>
      </c>
      <c r="T101" s="1">
        <v>7</v>
      </c>
      <c r="U101" s="1">
        <v>1</v>
      </c>
      <c r="V101" s="1">
        <v>4</v>
      </c>
      <c r="W101" s="1">
        <v>0.99</v>
      </c>
      <c r="X101" s="1">
        <v>3</v>
      </c>
      <c r="Y101" s="1">
        <v>0</v>
      </c>
      <c r="Z101" s="1">
        <v>0</v>
      </c>
      <c r="AA101" s="1">
        <v>4</v>
      </c>
      <c r="AB101" s="1">
        <v>8</v>
      </c>
      <c r="AC101" s="1" t="s">
        <v>319</v>
      </c>
      <c r="AD101" s="8">
        <v>41557</v>
      </c>
    </row>
    <row r="102" spans="1:30" x14ac:dyDescent="0.25">
      <c r="A102" s="1">
        <v>73410003558</v>
      </c>
      <c r="B102" s="1" t="s">
        <v>320</v>
      </c>
      <c r="C102" s="9">
        <v>43</v>
      </c>
      <c r="D102" s="9">
        <v>0</v>
      </c>
      <c r="E102" s="9">
        <v>16</v>
      </c>
      <c r="F102" s="1">
        <v>1.5</v>
      </c>
      <c r="G102" s="1">
        <v>2</v>
      </c>
      <c r="H102" s="1">
        <v>0</v>
      </c>
      <c r="I102" s="1">
        <v>0</v>
      </c>
      <c r="J102" s="1">
        <v>0</v>
      </c>
      <c r="K102" s="1">
        <v>0</v>
      </c>
      <c r="L102" s="1">
        <v>0</v>
      </c>
      <c r="M102" s="1">
        <v>0</v>
      </c>
      <c r="N102" s="1">
        <v>0</v>
      </c>
      <c r="O102" s="1">
        <v>150</v>
      </c>
      <c r="P102" s="1">
        <v>6</v>
      </c>
      <c r="Q102" s="1">
        <v>0</v>
      </c>
      <c r="R102" s="1">
        <v>0</v>
      </c>
      <c r="S102" s="1">
        <v>21</v>
      </c>
      <c r="T102" s="1">
        <v>7</v>
      </c>
      <c r="U102" s="1">
        <v>1</v>
      </c>
      <c r="V102" s="1">
        <v>4</v>
      </c>
      <c r="W102" s="1">
        <v>3</v>
      </c>
      <c r="X102" s="1">
        <v>4</v>
      </c>
      <c r="Y102" s="1">
        <v>0</v>
      </c>
      <c r="Z102" s="1">
        <v>0</v>
      </c>
      <c r="AA102" s="1">
        <v>4</v>
      </c>
      <c r="AB102" s="1">
        <v>6</v>
      </c>
      <c r="AC102" s="1" t="s">
        <v>321</v>
      </c>
      <c r="AD102" s="8">
        <v>41557</v>
      </c>
    </row>
    <row r="103" spans="1:30" x14ac:dyDescent="0.25">
      <c r="A103" s="1">
        <v>73410005002</v>
      </c>
      <c r="B103" s="1" t="s">
        <v>322</v>
      </c>
      <c r="C103" s="9">
        <v>33</v>
      </c>
      <c r="D103" s="9">
        <v>0</v>
      </c>
      <c r="E103" s="9">
        <v>17</v>
      </c>
      <c r="F103" s="1">
        <v>90</v>
      </c>
      <c r="G103" s="1">
        <v>15</v>
      </c>
      <c r="H103" s="1">
        <v>1.5</v>
      </c>
      <c r="I103" s="1">
        <v>2</v>
      </c>
      <c r="J103" s="1">
        <v>0</v>
      </c>
      <c r="K103" s="1">
        <v>0</v>
      </c>
      <c r="L103" s="1">
        <v>0</v>
      </c>
      <c r="M103" s="1">
        <v>0</v>
      </c>
      <c r="N103" s="1">
        <v>0</v>
      </c>
      <c r="O103" s="1">
        <v>190</v>
      </c>
      <c r="P103" s="1">
        <v>8</v>
      </c>
      <c r="Q103" s="1">
        <v>0</v>
      </c>
      <c r="R103" s="1">
        <v>0</v>
      </c>
      <c r="S103" s="1">
        <v>17</v>
      </c>
      <c r="T103" s="1">
        <v>6</v>
      </c>
      <c r="U103" s="1">
        <v>0.99</v>
      </c>
      <c r="V103" s="1">
        <v>3</v>
      </c>
      <c r="W103" s="1">
        <v>3</v>
      </c>
      <c r="X103" s="1">
        <v>3</v>
      </c>
      <c r="Y103" s="1">
        <v>0</v>
      </c>
      <c r="Z103" s="1">
        <v>0</v>
      </c>
      <c r="AA103" s="1">
        <v>4</v>
      </c>
      <c r="AB103" s="1">
        <v>6</v>
      </c>
      <c r="AC103" s="1" t="s">
        <v>323</v>
      </c>
      <c r="AD103" s="8">
        <v>41558</v>
      </c>
    </row>
    <row r="104" spans="1:30" x14ac:dyDescent="0.25">
      <c r="A104" s="1">
        <v>73410012604</v>
      </c>
      <c r="B104" s="1" t="s">
        <v>324</v>
      </c>
      <c r="C104" s="9">
        <v>42</v>
      </c>
      <c r="D104" s="9">
        <v>0</v>
      </c>
      <c r="E104" s="9">
        <v>12</v>
      </c>
      <c r="F104" s="1">
        <v>80</v>
      </c>
      <c r="G104" s="1">
        <v>5</v>
      </c>
      <c r="H104" s="1">
        <v>0.5</v>
      </c>
      <c r="I104" s="1">
        <v>1</v>
      </c>
      <c r="J104" s="1">
        <v>0</v>
      </c>
      <c r="K104" s="1">
        <v>0</v>
      </c>
      <c r="L104" s="1">
        <v>0</v>
      </c>
      <c r="M104" s="1">
        <v>0</v>
      </c>
      <c r="N104" s="1">
        <v>0</v>
      </c>
      <c r="O104" s="1">
        <v>170</v>
      </c>
      <c r="P104" s="1">
        <v>7</v>
      </c>
      <c r="Q104" s="1">
        <v>0</v>
      </c>
      <c r="R104" s="1">
        <v>0</v>
      </c>
      <c r="S104" s="1">
        <v>18</v>
      </c>
      <c r="T104" s="1">
        <v>6</v>
      </c>
      <c r="U104" s="1">
        <v>5</v>
      </c>
      <c r="V104" s="1">
        <v>20</v>
      </c>
      <c r="W104" s="1">
        <v>2</v>
      </c>
      <c r="X104" s="1">
        <v>5</v>
      </c>
      <c r="Y104" s="1">
        <v>0</v>
      </c>
      <c r="Z104" s="1">
        <v>0</v>
      </c>
      <c r="AA104" s="1">
        <v>4</v>
      </c>
      <c r="AB104" s="1">
        <v>4</v>
      </c>
      <c r="AC104" s="1" t="s">
        <v>325</v>
      </c>
      <c r="AD104" s="8">
        <v>41558</v>
      </c>
    </row>
    <row r="105" spans="1:30" x14ac:dyDescent="0.25">
      <c r="A105" s="1">
        <v>73410013090</v>
      </c>
      <c r="B105" s="1" t="s">
        <v>326</v>
      </c>
      <c r="C105" s="9">
        <v>43</v>
      </c>
      <c r="D105" s="9">
        <v>0</v>
      </c>
      <c r="E105" s="9">
        <v>16</v>
      </c>
      <c r="F105" s="1">
        <v>130</v>
      </c>
      <c r="G105" s="1">
        <v>25</v>
      </c>
      <c r="H105" s="1">
        <v>3</v>
      </c>
      <c r="I105" s="1">
        <v>5</v>
      </c>
      <c r="J105" s="1">
        <v>0</v>
      </c>
      <c r="K105" s="1">
        <v>0</v>
      </c>
      <c r="L105" s="1">
        <v>0</v>
      </c>
      <c r="M105" s="1">
        <v>0</v>
      </c>
      <c r="N105" s="1">
        <v>0</v>
      </c>
      <c r="O105" s="1">
        <v>150</v>
      </c>
      <c r="P105" s="1">
        <v>6</v>
      </c>
      <c r="Q105" s="1">
        <v>0</v>
      </c>
      <c r="R105" s="1">
        <v>0</v>
      </c>
      <c r="S105" s="1">
        <v>21</v>
      </c>
      <c r="T105" s="1">
        <v>7</v>
      </c>
      <c r="U105" s="1">
        <v>2</v>
      </c>
      <c r="V105" s="1">
        <v>8</v>
      </c>
      <c r="W105" s="1">
        <v>5</v>
      </c>
      <c r="X105" s="1">
        <v>5</v>
      </c>
      <c r="Y105" s="1">
        <v>0</v>
      </c>
      <c r="Z105" s="1">
        <v>0</v>
      </c>
      <c r="AA105" s="1">
        <v>6</v>
      </c>
      <c r="AB105" s="1">
        <v>8</v>
      </c>
      <c r="AC105" s="1" t="s">
        <v>327</v>
      </c>
      <c r="AD105" s="8">
        <v>41557</v>
      </c>
    </row>
    <row r="106" spans="1:30" x14ac:dyDescent="0.25">
      <c r="A106" s="1">
        <v>73410013502</v>
      </c>
      <c r="B106" s="1" t="s">
        <v>328</v>
      </c>
      <c r="C106" s="9">
        <v>43</v>
      </c>
      <c r="D106" s="9">
        <v>0</v>
      </c>
      <c r="E106" s="9">
        <v>16</v>
      </c>
      <c r="F106" s="1">
        <v>120</v>
      </c>
      <c r="G106" s="1">
        <v>15</v>
      </c>
      <c r="H106" s="1">
        <v>1.5</v>
      </c>
      <c r="I106" s="1">
        <v>2</v>
      </c>
      <c r="J106" s="1">
        <v>0</v>
      </c>
      <c r="K106" s="1">
        <v>0</v>
      </c>
      <c r="L106" s="1">
        <v>0</v>
      </c>
      <c r="M106" s="1">
        <v>0</v>
      </c>
      <c r="N106" s="1">
        <v>0</v>
      </c>
      <c r="O106" s="1">
        <v>150</v>
      </c>
      <c r="P106" s="1">
        <v>6</v>
      </c>
      <c r="Q106" s="1">
        <v>0</v>
      </c>
      <c r="R106" s="1">
        <v>0</v>
      </c>
      <c r="S106" s="1">
        <v>21</v>
      </c>
      <c r="T106" s="1">
        <v>7</v>
      </c>
      <c r="U106" s="1">
        <v>2</v>
      </c>
      <c r="V106" s="1">
        <v>8</v>
      </c>
      <c r="W106" s="1">
        <v>4</v>
      </c>
      <c r="X106" s="1">
        <v>4</v>
      </c>
      <c r="Y106" s="1">
        <v>0</v>
      </c>
      <c r="Z106" s="1">
        <v>0</v>
      </c>
      <c r="AA106" s="1">
        <v>6</v>
      </c>
      <c r="AB106" s="1">
        <v>6</v>
      </c>
      <c r="AC106" s="1" t="s">
        <v>329</v>
      </c>
      <c r="AD106" s="8">
        <v>41557</v>
      </c>
    </row>
    <row r="107" spans="1:30" x14ac:dyDescent="0.25">
      <c r="A107" s="1">
        <v>73410013519</v>
      </c>
      <c r="B107" s="1" t="s">
        <v>330</v>
      </c>
      <c r="C107" s="9">
        <v>43</v>
      </c>
      <c r="D107" s="9">
        <v>0</v>
      </c>
      <c r="E107" s="9">
        <v>16</v>
      </c>
      <c r="F107" s="1">
        <v>100</v>
      </c>
      <c r="G107" s="1">
        <v>10</v>
      </c>
      <c r="H107" s="1">
        <v>1</v>
      </c>
      <c r="I107" s="1">
        <v>2</v>
      </c>
      <c r="J107" s="1">
        <v>0</v>
      </c>
      <c r="K107" s="1">
        <v>0</v>
      </c>
      <c r="L107" s="1">
        <v>0</v>
      </c>
      <c r="M107" s="1">
        <v>0</v>
      </c>
      <c r="N107" s="1">
        <v>0</v>
      </c>
      <c r="O107" s="1">
        <v>150</v>
      </c>
      <c r="P107" s="1">
        <v>6</v>
      </c>
      <c r="Q107" s="1">
        <v>0</v>
      </c>
      <c r="R107" s="1">
        <v>0</v>
      </c>
      <c r="S107" s="1">
        <v>20</v>
      </c>
      <c r="T107" s="1">
        <v>7</v>
      </c>
      <c r="U107" s="1">
        <v>3</v>
      </c>
      <c r="V107" s="1">
        <v>12</v>
      </c>
      <c r="W107" s="1">
        <v>4</v>
      </c>
      <c r="X107" s="1">
        <v>5</v>
      </c>
      <c r="Y107" s="1">
        <v>0</v>
      </c>
      <c r="Z107" s="1">
        <v>0</v>
      </c>
      <c r="AA107" s="1">
        <v>4</v>
      </c>
      <c r="AB107" s="1">
        <v>6</v>
      </c>
      <c r="AC107" s="1" t="s">
        <v>331</v>
      </c>
      <c r="AD107" s="8">
        <v>41557</v>
      </c>
    </row>
    <row r="108" spans="1:30" x14ac:dyDescent="0.25">
      <c r="A108" s="1">
        <v>73410013540</v>
      </c>
      <c r="B108" s="1" t="s">
        <v>332</v>
      </c>
      <c r="C108" s="9">
        <v>43</v>
      </c>
      <c r="D108" s="9">
        <v>0</v>
      </c>
      <c r="E108" s="9">
        <v>16</v>
      </c>
      <c r="F108" s="1">
        <v>110</v>
      </c>
      <c r="G108" s="1">
        <v>15</v>
      </c>
      <c r="H108" s="1">
        <v>1.5</v>
      </c>
      <c r="I108" s="1">
        <v>2</v>
      </c>
      <c r="J108" s="1">
        <v>0</v>
      </c>
      <c r="K108" s="1">
        <v>0</v>
      </c>
      <c r="L108" s="1">
        <v>0</v>
      </c>
      <c r="M108" s="1">
        <v>0</v>
      </c>
      <c r="N108" s="1">
        <v>0</v>
      </c>
      <c r="O108" s="1">
        <v>150</v>
      </c>
      <c r="P108" s="1">
        <v>6</v>
      </c>
      <c r="Q108" s="1">
        <v>0</v>
      </c>
      <c r="R108" s="1">
        <v>0</v>
      </c>
      <c r="S108" s="1">
        <v>20</v>
      </c>
      <c r="T108" s="1">
        <v>7</v>
      </c>
      <c r="U108" s="1">
        <v>1</v>
      </c>
      <c r="V108" s="1">
        <v>4</v>
      </c>
      <c r="W108" s="1">
        <v>3</v>
      </c>
      <c r="X108" s="1">
        <v>4</v>
      </c>
      <c r="Y108" s="1">
        <v>0</v>
      </c>
      <c r="Z108" s="1">
        <v>0</v>
      </c>
      <c r="AA108" s="1">
        <v>8</v>
      </c>
      <c r="AB108" s="1">
        <v>8</v>
      </c>
      <c r="AC108" s="1" t="s">
        <v>333</v>
      </c>
      <c r="AD108" s="8">
        <v>41557</v>
      </c>
    </row>
    <row r="109" spans="1:30" x14ac:dyDescent="0.25">
      <c r="A109" s="1">
        <v>73410013557</v>
      </c>
      <c r="B109" s="1" t="s">
        <v>334</v>
      </c>
      <c r="C109" s="9">
        <v>43</v>
      </c>
      <c r="D109" s="9">
        <v>0</v>
      </c>
      <c r="E109" s="9">
        <v>16</v>
      </c>
      <c r="F109" s="1">
        <v>120</v>
      </c>
      <c r="G109" s="1">
        <v>25</v>
      </c>
      <c r="H109" s="1">
        <v>2.5</v>
      </c>
      <c r="I109" s="1">
        <v>4</v>
      </c>
      <c r="J109" s="1">
        <v>0</v>
      </c>
      <c r="K109" s="1">
        <v>0</v>
      </c>
      <c r="L109" s="1">
        <v>0</v>
      </c>
      <c r="M109" s="1">
        <v>0</v>
      </c>
      <c r="N109" s="1">
        <v>0</v>
      </c>
      <c r="O109" s="1">
        <v>150</v>
      </c>
      <c r="P109" s="1">
        <v>6</v>
      </c>
      <c r="Q109" s="1">
        <v>0</v>
      </c>
      <c r="R109" s="1">
        <v>0</v>
      </c>
      <c r="S109" s="1">
        <v>22</v>
      </c>
      <c r="T109" s="1">
        <v>7</v>
      </c>
      <c r="U109" s="1">
        <v>2</v>
      </c>
      <c r="V109" s="1">
        <v>8</v>
      </c>
      <c r="W109" s="1">
        <v>4</v>
      </c>
      <c r="X109" s="1">
        <v>4</v>
      </c>
      <c r="Y109" s="1">
        <v>0</v>
      </c>
      <c r="Z109" s="1">
        <v>0</v>
      </c>
      <c r="AA109" s="1">
        <v>4</v>
      </c>
      <c r="AB109" s="1">
        <v>8</v>
      </c>
      <c r="AC109" s="1" t="s">
        <v>335</v>
      </c>
      <c r="AD109" s="8">
        <v>41557</v>
      </c>
    </row>
    <row r="110" spans="1:30" x14ac:dyDescent="0.25">
      <c r="A110" s="1">
        <v>73410013656</v>
      </c>
      <c r="B110" s="1" t="s">
        <v>336</v>
      </c>
      <c r="C110" s="9">
        <v>43</v>
      </c>
      <c r="D110" s="9">
        <v>0</v>
      </c>
      <c r="E110" s="9">
        <v>16</v>
      </c>
      <c r="F110" s="1">
        <v>120</v>
      </c>
      <c r="G110" s="1">
        <v>20</v>
      </c>
      <c r="H110" s="1">
        <v>2</v>
      </c>
      <c r="I110" s="1">
        <v>3</v>
      </c>
      <c r="J110" s="1">
        <v>0</v>
      </c>
      <c r="K110" s="1">
        <v>0</v>
      </c>
      <c r="L110" s="1">
        <v>0</v>
      </c>
      <c r="M110" s="1">
        <v>0</v>
      </c>
      <c r="N110" s="1">
        <v>0</v>
      </c>
      <c r="O110" s="1">
        <v>150</v>
      </c>
      <c r="P110" s="1">
        <v>6</v>
      </c>
      <c r="Q110" s="1">
        <v>0</v>
      </c>
      <c r="R110" s="1">
        <v>0</v>
      </c>
      <c r="S110" s="1">
        <v>21</v>
      </c>
      <c r="T110" s="1">
        <v>7</v>
      </c>
      <c r="U110" s="1">
        <v>2</v>
      </c>
      <c r="V110" s="1">
        <v>8</v>
      </c>
      <c r="W110" s="1">
        <v>3</v>
      </c>
      <c r="X110" s="1">
        <v>5</v>
      </c>
      <c r="Y110" s="1">
        <v>0</v>
      </c>
      <c r="Z110" s="1">
        <v>0</v>
      </c>
      <c r="AA110" s="1">
        <v>4</v>
      </c>
      <c r="AB110" s="1">
        <v>8</v>
      </c>
      <c r="AC110" s="1" t="s">
        <v>337</v>
      </c>
      <c r="AD110" s="8">
        <v>41557</v>
      </c>
    </row>
    <row r="111" spans="1:30" x14ac:dyDescent="0.25">
      <c r="A111" s="1">
        <v>73410013748</v>
      </c>
      <c r="B111" s="1" t="s">
        <v>338</v>
      </c>
      <c r="C111" s="9">
        <v>43</v>
      </c>
      <c r="D111" s="9">
        <v>0</v>
      </c>
      <c r="E111" s="9">
        <v>16</v>
      </c>
      <c r="F111" s="1">
        <v>110</v>
      </c>
      <c r="G111" s="1">
        <v>15</v>
      </c>
      <c r="H111" s="1">
        <v>1.5</v>
      </c>
      <c r="I111" s="1">
        <v>2</v>
      </c>
      <c r="J111" s="1">
        <v>0</v>
      </c>
      <c r="K111" s="1">
        <v>0</v>
      </c>
      <c r="L111" s="1">
        <v>0</v>
      </c>
      <c r="M111" s="1">
        <v>0</v>
      </c>
      <c r="N111" s="1">
        <v>0</v>
      </c>
      <c r="O111" s="1">
        <v>150</v>
      </c>
      <c r="P111" s="1">
        <v>6</v>
      </c>
      <c r="Q111" s="1">
        <v>0</v>
      </c>
      <c r="R111" s="1">
        <v>0</v>
      </c>
      <c r="S111" s="1">
        <v>18</v>
      </c>
      <c r="T111" s="1">
        <v>6</v>
      </c>
      <c r="U111" s="1">
        <v>3</v>
      </c>
      <c r="V111" s="1">
        <v>12</v>
      </c>
      <c r="W111" s="1">
        <v>2</v>
      </c>
      <c r="X111" s="1">
        <v>7</v>
      </c>
      <c r="Y111" s="1">
        <v>0</v>
      </c>
      <c r="Z111" s="1">
        <v>0</v>
      </c>
      <c r="AA111" s="1">
        <v>4</v>
      </c>
      <c r="AB111" s="1">
        <v>6</v>
      </c>
      <c r="AC111" s="1" t="s">
        <v>339</v>
      </c>
      <c r="AD111" s="8">
        <v>41557</v>
      </c>
    </row>
    <row r="112" spans="1:30" x14ac:dyDescent="0.25">
      <c r="A112" s="1">
        <v>73410013755</v>
      </c>
      <c r="B112" s="1" t="s">
        <v>340</v>
      </c>
      <c r="C112" s="9">
        <v>43</v>
      </c>
      <c r="D112" s="9">
        <v>0</v>
      </c>
      <c r="E112" s="9">
        <v>16</v>
      </c>
      <c r="F112" s="1">
        <v>110</v>
      </c>
      <c r="G112" s="1">
        <v>10</v>
      </c>
      <c r="H112" s="1">
        <v>1</v>
      </c>
      <c r="I112" s="1">
        <v>2</v>
      </c>
      <c r="J112" s="1">
        <v>0</v>
      </c>
      <c r="K112" s="1">
        <v>0</v>
      </c>
      <c r="L112" s="1">
        <v>0</v>
      </c>
      <c r="M112" s="1">
        <v>0</v>
      </c>
      <c r="N112" s="1">
        <v>0</v>
      </c>
      <c r="O112" s="1">
        <v>150</v>
      </c>
      <c r="P112" s="1">
        <v>6</v>
      </c>
      <c r="Q112" s="1">
        <v>0</v>
      </c>
      <c r="R112" s="1">
        <v>0</v>
      </c>
      <c r="S112" s="1">
        <v>20</v>
      </c>
      <c r="T112" s="1">
        <v>7</v>
      </c>
      <c r="U112" s="1">
        <v>3</v>
      </c>
      <c r="V112" s="1">
        <v>12</v>
      </c>
      <c r="W112" s="1">
        <v>4</v>
      </c>
      <c r="X112" s="1">
        <v>5</v>
      </c>
      <c r="Y112" s="1">
        <v>0</v>
      </c>
      <c r="Z112" s="1">
        <v>0</v>
      </c>
      <c r="AA112" s="1">
        <v>4</v>
      </c>
      <c r="AB112" s="1">
        <v>5</v>
      </c>
      <c r="AC112" s="1" t="s">
        <v>341</v>
      </c>
      <c r="AD112" s="8">
        <v>41557</v>
      </c>
    </row>
    <row r="113" spans="1:30" x14ac:dyDescent="0.25">
      <c r="A113" s="1">
        <v>73410013854</v>
      </c>
      <c r="B113" s="1" t="s">
        <v>342</v>
      </c>
      <c r="C113" s="9">
        <v>43</v>
      </c>
      <c r="D113" s="9">
        <v>0</v>
      </c>
      <c r="E113" s="9">
        <v>16</v>
      </c>
      <c r="F113" s="1">
        <v>100</v>
      </c>
      <c r="G113" s="1">
        <v>15</v>
      </c>
      <c r="H113" s="1">
        <v>1.5</v>
      </c>
      <c r="I113" s="1">
        <v>2</v>
      </c>
      <c r="J113" s="1">
        <v>0</v>
      </c>
      <c r="K113" s="1">
        <v>0</v>
      </c>
      <c r="L113" s="1">
        <v>0</v>
      </c>
      <c r="M113" s="1">
        <v>0</v>
      </c>
      <c r="N113" s="1">
        <v>0</v>
      </c>
      <c r="O113" s="1">
        <v>150</v>
      </c>
      <c r="P113" s="1">
        <v>6</v>
      </c>
      <c r="Q113" s="1">
        <v>0</v>
      </c>
      <c r="R113" s="1">
        <v>0</v>
      </c>
      <c r="S113" s="1">
        <v>20</v>
      </c>
      <c r="T113" s="1">
        <v>7</v>
      </c>
      <c r="U113" s="1">
        <v>4</v>
      </c>
      <c r="V113" s="1">
        <v>16</v>
      </c>
      <c r="W113" s="1">
        <v>4</v>
      </c>
      <c r="X113" s="1">
        <v>5</v>
      </c>
      <c r="Y113" s="1">
        <v>0</v>
      </c>
      <c r="Z113" s="1">
        <v>0</v>
      </c>
      <c r="AA113" s="1">
        <v>4</v>
      </c>
      <c r="AB113" s="1">
        <v>6</v>
      </c>
      <c r="AC113" s="1" t="s">
        <v>343</v>
      </c>
      <c r="AD113" s="8">
        <v>41557</v>
      </c>
    </row>
    <row r="114" spans="1:30" x14ac:dyDescent="0.25">
      <c r="A114" s="1">
        <v>73410022504</v>
      </c>
      <c r="B114" s="1" t="s">
        <v>344</v>
      </c>
      <c r="C114" s="9">
        <v>50</v>
      </c>
      <c r="D114" s="9">
        <v>9</v>
      </c>
      <c r="E114" s="9">
        <v>1</v>
      </c>
      <c r="F114" s="1">
        <v>130</v>
      </c>
      <c r="G114" s="1">
        <v>20</v>
      </c>
      <c r="H114" s="1">
        <v>2</v>
      </c>
      <c r="I114" s="1">
        <v>3</v>
      </c>
      <c r="J114" s="1">
        <v>0</v>
      </c>
      <c r="K114" s="1">
        <v>0</v>
      </c>
      <c r="L114" s="1">
        <v>0</v>
      </c>
      <c r="M114" s="1">
        <v>0</v>
      </c>
      <c r="N114" s="1">
        <v>0</v>
      </c>
      <c r="O114" s="1">
        <v>260</v>
      </c>
      <c r="P114" s="1">
        <v>11</v>
      </c>
      <c r="Q114" s="1">
        <v>0</v>
      </c>
      <c r="R114" s="1">
        <v>0</v>
      </c>
      <c r="S114" s="1">
        <v>22</v>
      </c>
      <c r="T114" s="1">
        <v>7</v>
      </c>
      <c r="U114" s="1">
        <v>3</v>
      </c>
      <c r="V114" s="1">
        <v>12</v>
      </c>
      <c r="W114" s="1">
        <v>4</v>
      </c>
      <c r="X114" s="1">
        <v>6</v>
      </c>
      <c r="Y114" s="1">
        <v>0</v>
      </c>
      <c r="Z114" s="1">
        <v>0</v>
      </c>
      <c r="AA114" s="1">
        <v>6</v>
      </c>
      <c r="AB114" s="1">
        <v>6</v>
      </c>
      <c r="AC114" s="1" t="s">
        <v>345</v>
      </c>
      <c r="AD114" s="8">
        <v>41558</v>
      </c>
    </row>
    <row r="115" spans="1:30" x14ac:dyDescent="0.25">
      <c r="A115" s="1">
        <v>73410025505</v>
      </c>
      <c r="B115" s="1" t="s">
        <v>346</v>
      </c>
      <c r="C115" s="9">
        <v>52</v>
      </c>
      <c r="D115" s="9">
        <v>0</v>
      </c>
      <c r="E115" s="9">
        <v>11</v>
      </c>
      <c r="F115" s="1">
        <v>140</v>
      </c>
      <c r="G115" s="1">
        <v>20</v>
      </c>
      <c r="H115" s="1">
        <v>2</v>
      </c>
      <c r="I115" s="1">
        <v>3</v>
      </c>
      <c r="J115" s="1">
        <v>0</v>
      </c>
      <c r="K115" s="1">
        <v>0</v>
      </c>
      <c r="L115" s="1">
        <v>0</v>
      </c>
      <c r="M115" s="1">
        <v>0</v>
      </c>
      <c r="N115" s="1">
        <v>0</v>
      </c>
      <c r="O115" s="1">
        <v>260</v>
      </c>
      <c r="P115" s="1">
        <v>11</v>
      </c>
      <c r="Q115" s="1">
        <v>0</v>
      </c>
      <c r="R115" s="1">
        <v>0</v>
      </c>
      <c r="S115" s="1">
        <v>25</v>
      </c>
      <c r="T115" s="1">
        <v>8</v>
      </c>
      <c r="U115" s="1">
        <v>2</v>
      </c>
      <c r="V115" s="1">
        <v>8</v>
      </c>
      <c r="W115" s="1">
        <v>4</v>
      </c>
      <c r="X115" s="1">
        <v>5</v>
      </c>
      <c r="Y115" s="1">
        <v>10</v>
      </c>
      <c r="Z115" s="1">
        <v>0</v>
      </c>
      <c r="AA115" s="1">
        <v>10</v>
      </c>
      <c r="AB115" s="1">
        <v>8</v>
      </c>
      <c r="AC115" s="1" t="s">
        <v>347</v>
      </c>
      <c r="AD115" s="8">
        <v>41558</v>
      </c>
    </row>
    <row r="116" spans="1:30" x14ac:dyDescent="0.25">
      <c r="A116" s="1">
        <v>73410025529</v>
      </c>
      <c r="B116" s="1" t="s">
        <v>348</v>
      </c>
      <c r="C116" s="9">
        <v>52</v>
      </c>
      <c r="D116" s="9">
        <v>0</v>
      </c>
      <c r="E116" s="9">
        <v>11</v>
      </c>
      <c r="F116" s="1">
        <v>140</v>
      </c>
      <c r="G116" s="1">
        <v>20</v>
      </c>
      <c r="H116" s="1">
        <v>2</v>
      </c>
      <c r="I116" s="1">
        <v>3</v>
      </c>
      <c r="J116" s="1">
        <v>0</v>
      </c>
      <c r="K116" s="1">
        <v>0</v>
      </c>
      <c r="L116" s="1">
        <v>0</v>
      </c>
      <c r="M116" s="1">
        <v>0</v>
      </c>
      <c r="N116" s="1">
        <v>0</v>
      </c>
      <c r="O116" s="1">
        <v>240</v>
      </c>
      <c r="P116" s="1">
        <v>10</v>
      </c>
      <c r="Q116" s="1">
        <v>0</v>
      </c>
      <c r="R116" s="1">
        <v>0</v>
      </c>
      <c r="S116" s="1">
        <v>25</v>
      </c>
      <c r="T116" s="1">
        <v>8</v>
      </c>
      <c r="U116" s="1">
        <v>2</v>
      </c>
      <c r="V116" s="1">
        <v>8</v>
      </c>
      <c r="W116" s="1">
        <v>4</v>
      </c>
      <c r="X116" s="1">
        <v>5</v>
      </c>
      <c r="Y116" s="1">
        <v>10</v>
      </c>
      <c r="Z116" s="1">
        <v>0</v>
      </c>
      <c r="AA116" s="1">
        <v>10</v>
      </c>
      <c r="AB116" s="1">
        <v>8</v>
      </c>
      <c r="AC116" s="1" t="s">
        <v>349</v>
      </c>
      <c r="AD116" s="8">
        <v>41558</v>
      </c>
    </row>
    <row r="117" spans="1:30" x14ac:dyDescent="0.25">
      <c r="A117" s="1">
        <v>73410025543</v>
      </c>
      <c r="B117" s="1" t="s">
        <v>350</v>
      </c>
      <c r="C117" s="9">
        <v>52</v>
      </c>
      <c r="D117" s="9">
        <v>0</v>
      </c>
      <c r="E117" s="9">
        <v>11</v>
      </c>
      <c r="F117" s="1">
        <v>130</v>
      </c>
      <c r="G117" s="1">
        <v>25</v>
      </c>
      <c r="H117" s="1">
        <v>2.5</v>
      </c>
      <c r="I117" s="1">
        <v>4</v>
      </c>
      <c r="J117" s="1">
        <v>0</v>
      </c>
      <c r="K117" s="1">
        <v>0</v>
      </c>
      <c r="L117" s="1">
        <v>0</v>
      </c>
      <c r="M117" s="1">
        <v>0</v>
      </c>
      <c r="N117" s="1">
        <v>0</v>
      </c>
      <c r="O117" s="1">
        <v>240</v>
      </c>
      <c r="P117" s="1">
        <v>10</v>
      </c>
      <c r="Q117" s="1">
        <v>0</v>
      </c>
      <c r="R117" s="1">
        <v>0</v>
      </c>
      <c r="S117" s="1">
        <v>23</v>
      </c>
      <c r="T117" s="1">
        <v>8</v>
      </c>
      <c r="U117" s="1">
        <v>3</v>
      </c>
      <c r="V117" s="1">
        <v>12</v>
      </c>
      <c r="W117" s="1">
        <v>4</v>
      </c>
      <c r="X117" s="1">
        <v>6</v>
      </c>
      <c r="Y117" s="1">
        <v>10</v>
      </c>
      <c r="Z117" s="1">
        <v>0</v>
      </c>
      <c r="AA117" s="1">
        <v>10</v>
      </c>
      <c r="AB117" s="1">
        <v>6</v>
      </c>
      <c r="AC117" s="1" t="s">
        <v>351</v>
      </c>
      <c r="AD117" s="8">
        <v>41558</v>
      </c>
    </row>
    <row r="118" spans="1:30" x14ac:dyDescent="0.25">
      <c r="C118" s="7"/>
      <c r="D118" s="7"/>
      <c r="E118" s="7"/>
    </row>
    <row r="119" spans="1:30" x14ac:dyDescent="0.25">
      <c r="C119" s="7"/>
      <c r="D119" s="7"/>
      <c r="E119" s="7"/>
    </row>
    <row r="120" spans="1:30" x14ac:dyDescent="0.25">
      <c r="C120" s="7"/>
      <c r="D120" s="7"/>
      <c r="E120" s="7"/>
    </row>
    <row r="121" spans="1:30" x14ac:dyDescent="0.25">
      <c r="A121" s="1" t="s">
        <v>7</v>
      </c>
      <c r="B121" s="20" t="s">
        <v>107</v>
      </c>
      <c r="C121" s="7"/>
      <c r="D121" s="7"/>
      <c r="E121" s="7"/>
      <c r="M121" s="4"/>
      <c r="N121" s="23"/>
    </row>
    <row r="122" spans="1:30" x14ac:dyDescent="0.25">
      <c r="A122" s="1" t="s">
        <v>410</v>
      </c>
      <c r="B122" s="1" t="str">
        <f>+VLOOKUP(B121,$E$3:$H$18,4,FALSE)</f>
        <v>GPC_LANG , GPC_CD</v>
      </c>
    </row>
    <row r="123" spans="1:30" x14ac:dyDescent="0.25">
      <c r="A123" s="1" t="s">
        <v>113</v>
      </c>
      <c r="B123" s="21">
        <f>VLOOKUP(B121,$A$3:$B$18,2,)</f>
        <v>38760</v>
      </c>
      <c r="I123" s="1" t="s">
        <v>7</v>
      </c>
      <c r="J123" s="20" t="s">
        <v>105</v>
      </c>
      <c r="M123" s="1" t="s">
        <v>7</v>
      </c>
      <c r="N123" s="1" t="s">
        <v>106</v>
      </c>
    </row>
    <row r="124" spans="1:30" x14ac:dyDescent="0.25">
      <c r="A124" s="25" t="s">
        <v>205</v>
      </c>
      <c r="B124" s="25" t="s">
        <v>206</v>
      </c>
      <c r="C124" s="3" t="s">
        <v>207</v>
      </c>
      <c r="D124" s="3" t="s">
        <v>208</v>
      </c>
      <c r="E124" s="3" t="s">
        <v>138</v>
      </c>
      <c r="I124" s="1" t="s">
        <v>410</v>
      </c>
      <c r="J124" s="1" t="str">
        <f>+VLOOKUP(J123,$E$3:$H$18,4,FALSE)</f>
        <v>prefix_cd , gcp_length</v>
      </c>
      <c r="M124" s="1" t="s">
        <v>410</v>
      </c>
      <c r="N124" s="21" t="str">
        <f>+VLOOKUP(N123,$E$3:$H$18,4,FALSE)</f>
        <v xml:space="preserve">RETURN_CODE , </v>
      </c>
      <c r="Q124" s="1" t="s">
        <v>7</v>
      </c>
      <c r="R124" s="20" t="s">
        <v>109</v>
      </c>
      <c r="U124" s="1" t="s">
        <v>7</v>
      </c>
      <c r="V124" s="20" t="s">
        <v>108</v>
      </c>
    </row>
    <row r="125" spans="1:30" x14ac:dyDescent="0.25">
      <c r="A125" s="1" t="s">
        <v>209</v>
      </c>
      <c r="B125" s="1">
        <v>10000000</v>
      </c>
      <c r="C125" s="1" t="s">
        <v>210</v>
      </c>
      <c r="D125" s="1" t="s">
        <v>211</v>
      </c>
      <c r="E125" s="1" t="s">
        <v>212</v>
      </c>
      <c r="I125" s="1" t="s">
        <v>113</v>
      </c>
      <c r="J125" s="22">
        <f>VLOOKUP(J123,$A$3:$B$18,2)</f>
        <v>264</v>
      </c>
      <c r="M125" s="1" t="s">
        <v>113</v>
      </c>
      <c r="N125" s="1">
        <f>VLOOKUP(N123,$A$3:$B$18,2)</f>
        <v>16</v>
      </c>
      <c r="Q125" s="1" t="s">
        <v>410</v>
      </c>
      <c r="R125" s="1" t="str">
        <f>+VLOOKUP(R124,$E$3:$H$18,4,FALSE)</f>
        <v xml:space="preserve">PREFIX_CD , </v>
      </c>
      <c r="U125" s="1" t="s">
        <v>410</v>
      </c>
      <c r="V125" s="1" t="str">
        <f>+VLOOKUP(V124,$E$3:$H$18,4,FALSE)</f>
        <v xml:space="preserve">GPC_B_CD , </v>
      </c>
    </row>
    <row r="126" spans="1:30" x14ac:dyDescent="0.25">
      <c r="A126" s="1" t="s">
        <v>209</v>
      </c>
      <c r="B126" s="1">
        <v>10000002</v>
      </c>
      <c r="C126" s="1" t="s">
        <v>213</v>
      </c>
      <c r="D126" s="1" t="s">
        <v>214</v>
      </c>
      <c r="E126" s="1" t="s">
        <v>212</v>
      </c>
      <c r="I126" s="25" t="s">
        <v>182</v>
      </c>
      <c r="J126" s="26" t="s">
        <v>183</v>
      </c>
      <c r="K126" s="10" t="s">
        <v>184</v>
      </c>
      <c r="M126" s="26" t="s">
        <v>137</v>
      </c>
      <c r="N126" s="3" t="s">
        <v>185</v>
      </c>
      <c r="O126" s="3" t="s">
        <v>186</v>
      </c>
      <c r="Q126" s="1" t="s">
        <v>113</v>
      </c>
      <c r="R126" s="21">
        <f>VLOOKUP(R124,$A$3:$B$18,2,)</f>
        <v>1000</v>
      </c>
      <c r="U126" s="1" t="s">
        <v>113</v>
      </c>
      <c r="V126" s="21">
        <f>VLOOKUP(V124,$A$3:$B$18,2,)</f>
        <v>3298</v>
      </c>
    </row>
    <row r="127" spans="1:30" x14ac:dyDescent="0.25">
      <c r="A127" s="1" t="s">
        <v>209</v>
      </c>
      <c r="B127" s="1">
        <v>10000003</v>
      </c>
      <c r="C127" s="1" t="s">
        <v>215</v>
      </c>
      <c r="D127" s="1" t="s">
        <v>214</v>
      </c>
      <c r="E127" s="1" t="s">
        <v>212</v>
      </c>
      <c r="I127" s="1">
        <v>800</v>
      </c>
      <c r="J127" s="9">
        <v>7</v>
      </c>
      <c r="K127" s="9">
        <v>10000</v>
      </c>
      <c r="M127" s="9">
        <v>0</v>
      </c>
      <c r="N127" s="1" t="s">
        <v>187</v>
      </c>
      <c r="O127" s="1" t="s">
        <v>188</v>
      </c>
      <c r="Q127" s="25" t="s">
        <v>232</v>
      </c>
      <c r="R127" s="3" t="s">
        <v>233</v>
      </c>
      <c r="S127" s="3" t="s">
        <v>234</v>
      </c>
      <c r="U127" s="10" t="s">
        <v>228</v>
      </c>
      <c r="V127" s="3" t="s">
        <v>229</v>
      </c>
      <c r="W127" s="3" t="s">
        <v>230</v>
      </c>
      <c r="X127" s="25" t="s">
        <v>231</v>
      </c>
    </row>
    <row r="128" spans="1:30" x14ac:dyDescent="0.25">
      <c r="A128" s="1" t="s">
        <v>209</v>
      </c>
      <c r="B128" s="1">
        <v>10000005</v>
      </c>
      <c r="C128" s="1" t="s">
        <v>216</v>
      </c>
      <c r="D128" s="1" t="s">
        <v>214</v>
      </c>
      <c r="E128" s="1" t="s">
        <v>212</v>
      </c>
      <c r="I128" s="1">
        <v>801</v>
      </c>
      <c r="J128" s="9">
        <v>7</v>
      </c>
      <c r="K128" s="9">
        <v>10000</v>
      </c>
      <c r="M128" s="9">
        <v>1</v>
      </c>
      <c r="N128" s="1" t="s">
        <v>189</v>
      </c>
      <c r="O128" s="1" t="s">
        <v>188</v>
      </c>
      <c r="Q128" s="1">
        <v>0</v>
      </c>
      <c r="R128" s="1" t="s">
        <v>235</v>
      </c>
      <c r="S128" s="1" t="s">
        <v>144</v>
      </c>
      <c r="U128" s="9">
        <v>50000000</v>
      </c>
      <c r="V128" s="1">
        <v>50270000</v>
      </c>
      <c r="W128" s="1">
        <v>50270100</v>
      </c>
      <c r="X128" s="1">
        <v>10000002</v>
      </c>
    </row>
    <row r="129" spans="1:24" x14ac:dyDescent="0.25">
      <c r="A129" s="1" t="s">
        <v>209</v>
      </c>
      <c r="B129" s="1">
        <v>10000006</v>
      </c>
      <c r="C129" s="1" t="s">
        <v>217</v>
      </c>
      <c r="D129" s="1" t="s">
        <v>214</v>
      </c>
      <c r="E129" s="1" t="s">
        <v>212</v>
      </c>
      <c r="I129" s="1">
        <v>802</v>
      </c>
      <c r="J129" s="9">
        <v>7</v>
      </c>
      <c r="K129" s="9">
        <v>10000</v>
      </c>
      <c r="M129" s="9">
        <v>2</v>
      </c>
      <c r="N129" s="1" t="s">
        <v>190</v>
      </c>
      <c r="O129" s="1" t="s">
        <v>188</v>
      </c>
      <c r="Q129" s="1">
        <v>1</v>
      </c>
      <c r="R129" s="1" t="s">
        <v>235</v>
      </c>
      <c r="S129" s="1" t="s">
        <v>144</v>
      </c>
      <c r="U129" s="9">
        <v>50000000</v>
      </c>
      <c r="V129" s="1">
        <v>50310000</v>
      </c>
      <c r="W129" s="1">
        <v>50310100</v>
      </c>
      <c r="X129" s="1">
        <v>10000003</v>
      </c>
    </row>
    <row r="130" spans="1:24" x14ac:dyDescent="0.25">
      <c r="A130" s="1" t="s">
        <v>209</v>
      </c>
      <c r="B130" s="1">
        <v>10000007</v>
      </c>
      <c r="C130" s="1" t="s">
        <v>218</v>
      </c>
      <c r="D130" s="1" t="s">
        <v>214</v>
      </c>
      <c r="E130" s="1" t="s">
        <v>212</v>
      </c>
      <c r="I130" s="1">
        <v>803</v>
      </c>
      <c r="J130" s="9">
        <v>7</v>
      </c>
      <c r="K130" s="9">
        <v>10000</v>
      </c>
      <c r="M130" s="9">
        <v>3</v>
      </c>
      <c r="N130" s="1" t="s">
        <v>191</v>
      </c>
      <c r="O130" s="1" t="s">
        <v>188</v>
      </c>
      <c r="Q130" s="1">
        <v>2</v>
      </c>
      <c r="R130" s="1" t="s">
        <v>235</v>
      </c>
      <c r="S130" s="1" t="s">
        <v>144</v>
      </c>
      <c r="U130" s="9">
        <v>50000000</v>
      </c>
      <c r="V130" s="1">
        <v>50290000</v>
      </c>
      <c r="W130" s="1">
        <v>50290100</v>
      </c>
      <c r="X130" s="1">
        <v>10000005</v>
      </c>
    </row>
    <row r="131" spans="1:24" x14ac:dyDescent="0.25">
      <c r="A131" s="1" t="s">
        <v>209</v>
      </c>
      <c r="B131" s="1">
        <v>10000008</v>
      </c>
      <c r="C131" s="1" t="s">
        <v>219</v>
      </c>
      <c r="D131" s="1" t="s">
        <v>214</v>
      </c>
      <c r="E131" s="1" t="s">
        <v>212</v>
      </c>
      <c r="I131" s="1">
        <v>804</v>
      </c>
      <c r="J131" s="9">
        <v>7</v>
      </c>
      <c r="K131" s="9">
        <v>10000</v>
      </c>
      <c r="M131" s="9">
        <v>4</v>
      </c>
      <c r="N131" s="1" t="s">
        <v>192</v>
      </c>
      <c r="O131" s="1" t="s">
        <v>188</v>
      </c>
      <c r="Q131" s="1">
        <v>3</v>
      </c>
      <c r="R131" s="1" t="s">
        <v>235</v>
      </c>
      <c r="S131" s="1" t="s">
        <v>144</v>
      </c>
      <c r="U131" s="9">
        <v>50000000</v>
      </c>
      <c r="V131" s="1">
        <v>50320000</v>
      </c>
      <c r="W131" s="1">
        <v>50320100</v>
      </c>
      <c r="X131" s="1">
        <v>10000006</v>
      </c>
    </row>
    <row r="132" spans="1:24" x14ac:dyDescent="0.25">
      <c r="A132" s="1" t="s">
        <v>209</v>
      </c>
      <c r="B132" s="1">
        <v>10000016</v>
      </c>
      <c r="C132" s="1" t="s">
        <v>220</v>
      </c>
      <c r="D132" s="1" t="s">
        <v>214</v>
      </c>
      <c r="E132" s="1" t="s">
        <v>212</v>
      </c>
      <c r="I132" s="1">
        <v>805</v>
      </c>
      <c r="J132" s="9">
        <v>7</v>
      </c>
      <c r="K132" s="9">
        <v>10000</v>
      </c>
      <c r="M132" s="9">
        <v>5</v>
      </c>
      <c r="N132" s="1" t="s">
        <v>193</v>
      </c>
      <c r="O132" s="1" t="s">
        <v>188</v>
      </c>
      <c r="Q132" s="1">
        <v>4</v>
      </c>
      <c r="R132" s="1" t="s">
        <v>235</v>
      </c>
      <c r="S132" s="1" t="s">
        <v>144</v>
      </c>
      <c r="U132" s="9">
        <v>50000000</v>
      </c>
      <c r="V132" s="1">
        <v>50330000</v>
      </c>
      <c r="W132" s="1">
        <v>50330100</v>
      </c>
      <c r="X132" s="1">
        <v>10000007</v>
      </c>
    </row>
    <row r="133" spans="1:24" x14ac:dyDescent="0.25">
      <c r="A133" s="1" t="s">
        <v>209</v>
      </c>
      <c r="B133" s="1">
        <v>10000017</v>
      </c>
      <c r="C133" s="1" t="s">
        <v>221</v>
      </c>
      <c r="D133" s="1" t="s">
        <v>214</v>
      </c>
      <c r="E133" s="1" t="s">
        <v>212</v>
      </c>
      <c r="I133" s="1">
        <v>806</v>
      </c>
      <c r="J133" s="9">
        <v>7</v>
      </c>
      <c r="K133" s="9">
        <v>10000</v>
      </c>
      <c r="M133" s="9">
        <v>7</v>
      </c>
      <c r="N133" s="1" t="s">
        <v>194</v>
      </c>
      <c r="O133" s="1" t="s">
        <v>188</v>
      </c>
      <c r="Q133" s="1">
        <v>5</v>
      </c>
      <c r="R133" s="1" t="s">
        <v>235</v>
      </c>
      <c r="S133" s="1" t="s">
        <v>144</v>
      </c>
      <c r="U133" s="9">
        <v>50000000</v>
      </c>
      <c r="V133" s="1">
        <v>50340000</v>
      </c>
      <c r="W133" s="1">
        <v>50340100</v>
      </c>
      <c r="X133" s="1">
        <v>10000008</v>
      </c>
    </row>
    <row r="134" spans="1:24" x14ac:dyDescent="0.25">
      <c r="A134" s="1" t="s">
        <v>209</v>
      </c>
      <c r="B134" s="1">
        <v>10000018</v>
      </c>
      <c r="C134" s="1" t="s">
        <v>222</v>
      </c>
      <c r="D134" s="1" t="s">
        <v>214</v>
      </c>
      <c r="E134" s="1" t="s">
        <v>212</v>
      </c>
      <c r="I134" s="1">
        <v>807</v>
      </c>
      <c r="J134" s="9">
        <v>6</v>
      </c>
      <c r="K134" s="9">
        <v>1000</v>
      </c>
      <c r="M134" s="9">
        <v>8</v>
      </c>
      <c r="N134" s="1" t="s">
        <v>195</v>
      </c>
      <c r="O134" s="1" t="s">
        <v>188</v>
      </c>
      <c r="Q134" s="1">
        <v>6</v>
      </c>
      <c r="R134" s="1" t="s">
        <v>235</v>
      </c>
      <c r="S134" s="1" t="s">
        <v>144</v>
      </c>
      <c r="U134" s="9">
        <v>50000000</v>
      </c>
      <c r="V134" s="1">
        <v>50120000</v>
      </c>
      <c r="W134" s="1">
        <v>50121900</v>
      </c>
      <c r="X134" s="1">
        <v>10000016</v>
      </c>
    </row>
    <row r="135" spans="1:24" x14ac:dyDescent="0.25">
      <c r="A135" s="1" t="s">
        <v>209</v>
      </c>
      <c r="B135" s="1">
        <v>10000019</v>
      </c>
      <c r="C135" s="1" t="s">
        <v>223</v>
      </c>
      <c r="D135" s="1" t="s">
        <v>214</v>
      </c>
      <c r="E135" s="1" t="s">
        <v>212</v>
      </c>
      <c r="I135" s="1">
        <v>809</v>
      </c>
      <c r="J135" s="9">
        <v>7</v>
      </c>
      <c r="K135" s="9">
        <v>10000</v>
      </c>
      <c r="M135" s="9">
        <v>9</v>
      </c>
      <c r="N135" s="1" t="s">
        <v>196</v>
      </c>
      <c r="O135" s="1" t="s">
        <v>188</v>
      </c>
      <c r="Q135" s="1">
        <v>7</v>
      </c>
      <c r="R135" s="1" t="s">
        <v>235</v>
      </c>
      <c r="S135" s="1" t="s">
        <v>144</v>
      </c>
      <c r="U135" s="9">
        <v>50000000</v>
      </c>
      <c r="V135" s="1">
        <v>50120000</v>
      </c>
      <c r="W135" s="1">
        <v>50121900</v>
      </c>
      <c r="X135" s="1">
        <v>10000017</v>
      </c>
    </row>
    <row r="136" spans="1:24" x14ac:dyDescent="0.25">
      <c r="A136" s="1" t="s">
        <v>209</v>
      </c>
      <c r="B136" s="1">
        <v>10000020</v>
      </c>
      <c r="C136" s="1" t="s">
        <v>224</v>
      </c>
      <c r="D136" s="1" t="s">
        <v>214</v>
      </c>
      <c r="E136" s="1" t="s">
        <v>212</v>
      </c>
      <c r="I136" s="1">
        <v>810</v>
      </c>
      <c r="J136" s="9">
        <v>7</v>
      </c>
      <c r="K136" s="9">
        <v>10000</v>
      </c>
      <c r="M136" s="9">
        <v>10</v>
      </c>
      <c r="N136" s="1" t="s">
        <v>197</v>
      </c>
      <c r="O136" s="1" t="s">
        <v>188</v>
      </c>
      <c r="Q136" s="1">
        <v>8</v>
      </c>
      <c r="R136" s="1" t="s">
        <v>235</v>
      </c>
      <c r="S136" s="1" t="s">
        <v>144</v>
      </c>
      <c r="U136" s="9">
        <v>50000000</v>
      </c>
      <c r="V136" s="1">
        <v>50120000</v>
      </c>
      <c r="W136" s="1">
        <v>50121900</v>
      </c>
      <c r="X136" s="1">
        <v>10000018</v>
      </c>
    </row>
    <row r="137" spans="1:24" x14ac:dyDescent="0.25">
      <c r="A137" s="1" t="s">
        <v>209</v>
      </c>
      <c r="B137" s="1">
        <v>10000021</v>
      </c>
      <c r="C137" s="1" t="s">
        <v>225</v>
      </c>
      <c r="D137" s="1" t="s">
        <v>214</v>
      </c>
      <c r="E137" s="1" t="s">
        <v>212</v>
      </c>
      <c r="I137" s="1">
        <v>830</v>
      </c>
      <c r="J137" s="9">
        <v>7</v>
      </c>
      <c r="K137" s="9">
        <v>10000</v>
      </c>
      <c r="M137" s="9">
        <v>11</v>
      </c>
      <c r="N137" s="1" t="s">
        <v>198</v>
      </c>
      <c r="O137" s="1" t="s">
        <v>188</v>
      </c>
      <c r="Q137" s="1">
        <v>9</v>
      </c>
      <c r="R137" s="1" t="s">
        <v>235</v>
      </c>
      <c r="S137" s="1" t="s">
        <v>144</v>
      </c>
      <c r="U137" s="9">
        <v>50000000</v>
      </c>
      <c r="V137" s="1">
        <v>50120000</v>
      </c>
      <c r="W137" s="1">
        <v>50121700</v>
      </c>
      <c r="X137" s="1">
        <v>10000019</v>
      </c>
    </row>
    <row r="138" spans="1:24" x14ac:dyDescent="0.25">
      <c r="A138" s="1" t="s">
        <v>209</v>
      </c>
      <c r="B138" s="1">
        <v>10000025</v>
      </c>
      <c r="C138" s="1" t="s">
        <v>226</v>
      </c>
      <c r="D138" s="1" t="s">
        <v>214</v>
      </c>
      <c r="E138" s="1" t="s">
        <v>212</v>
      </c>
      <c r="I138" s="1">
        <v>841</v>
      </c>
      <c r="J138" s="9">
        <v>7</v>
      </c>
      <c r="K138" s="9">
        <v>10000</v>
      </c>
      <c r="M138" s="9">
        <v>13</v>
      </c>
      <c r="N138" s="1" t="s">
        <v>199</v>
      </c>
      <c r="O138" s="1" t="s">
        <v>188</v>
      </c>
      <c r="Q138" s="1">
        <v>10</v>
      </c>
      <c r="R138" s="1" t="s">
        <v>236</v>
      </c>
      <c r="S138" s="1" t="s">
        <v>144</v>
      </c>
      <c r="U138" s="9">
        <v>50000000</v>
      </c>
      <c r="V138" s="1">
        <v>50120000</v>
      </c>
      <c r="W138" s="1">
        <v>50121700</v>
      </c>
      <c r="X138" s="1">
        <v>10000020</v>
      </c>
    </row>
    <row r="139" spans="1:24" x14ac:dyDescent="0.25">
      <c r="A139" s="1" t="s">
        <v>209</v>
      </c>
      <c r="B139" s="1">
        <v>10000026</v>
      </c>
      <c r="C139" s="1" t="s">
        <v>227</v>
      </c>
      <c r="D139" s="1" t="s">
        <v>214</v>
      </c>
      <c r="E139" s="1" t="s">
        <v>212</v>
      </c>
      <c r="I139" s="1">
        <v>842</v>
      </c>
      <c r="J139" s="9">
        <v>7</v>
      </c>
      <c r="K139" s="9">
        <v>10000</v>
      </c>
      <c r="M139" s="9">
        <v>14</v>
      </c>
      <c r="N139" s="1" t="s">
        <v>200</v>
      </c>
      <c r="O139" s="1" t="s">
        <v>188</v>
      </c>
      <c r="Q139" s="1">
        <v>11</v>
      </c>
      <c r="R139" s="1" t="s">
        <v>235</v>
      </c>
      <c r="S139" s="1" t="s">
        <v>144</v>
      </c>
      <c r="U139" s="9">
        <v>50000000</v>
      </c>
      <c r="V139" s="1">
        <v>50120000</v>
      </c>
      <c r="W139" s="1">
        <v>50121700</v>
      </c>
      <c r="X139" s="1">
        <v>10000021</v>
      </c>
    </row>
    <row r="140" spans="1:24" x14ac:dyDescent="0.25">
      <c r="I140" s="1">
        <v>870</v>
      </c>
      <c r="J140" s="9">
        <v>7</v>
      </c>
      <c r="K140" s="9">
        <v>10000</v>
      </c>
      <c r="M140" s="9">
        <v>99</v>
      </c>
      <c r="N140" s="1" t="s">
        <v>201</v>
      </c>
      <c r="O140" s="1" t="s">
        <v>188</v>
      </c>
      <c r="Q140" s="1">
        <v>12</v>
      </c>
      <c r="R140" s="1" t="s">
        <v>236</v>
      </c>
      <c r="S140" s="1" t="s">
        <v>144</v>
      </c>
      <c r="U140" s="9">
        <v>50000000</v>
      </c>
      <c r="V140" s="1">
        <v>50130000</v>
      </c>
      <c r="W140" s="1">
        <v>50131700</v>
      </c>
      <c r="X140" s="1">
        <v>10000025</v>
      </c>
    </row>
    <row r="141" spans="1:24" x14ac:dyDescent="0.25">
      <c r="I141" s="1">
        <v>871</v>
      </c>
      <c r="J141" s="9">
        <v>7</v>
      </c>
      <c r="K141" s="9">
        <v>9929</v>
      </c>
      <c r="M141" s="9">
        <v>100</v>
      </c>
      <c r="N141" s="1" t="s">
        <v>202</v>
      </c>
      <c r="O141" s="1" t="s">
        <v>203</v>
      </c>
      <c r="Q141" s="1">
        <v>13</v>
      </c>
      <c r="R141" s="1" t="s">
        <v>236</v>
      </c>
      <c r="S141" s="1" t="s">
        <v>144</v>
      </c>
      <c r="U141" s="9">
        <v>50000000</v>
      </c>
      <c r="V141" s="1">
        <v>50130000</v>
      </c>
      <c r="W141" s="1">
        <v>50131700</v>
      </c>
      <c r="X141" s="1">
        <v>10000026</v>
      </c>
    </row>
    <row r="142" spans="1:24" x14ac:dyDescent="0.25">
      <c r="I142" s="1">
        <v>871</v>
      </c>
      <c r="J142" s="9">
        <v>9</v>
      </c>
      <c r="K142" s="9">
        <v>5000</v>
      </c>
      <c r="M142" s="9">
        <v>101</v>
      </c>
      <c r="N142" s="1" t="s">
        <v>204</v>
      </c>
      <c r="O142" s="1" t="s">
        <v>203</v>
      </c>
      <c r="Q142" s="1">
        <v>14</v>
      </c>
      <c r="R142" s="1" t="s">
        <v>236</v>
      </c>
      <c r="S142" s="1" t="s">
        <v>144</v>
      </c>
      <c r="U142" s="9">
        <v>50000000</v>
      </c>
      <c r="V142" s="1">
        <v>50130000</v>
      </c>
      <c r="W142" s="1">
        <v>50131700</v>
      </c>
      <c r="X142" s="1">
        <v>10000027</v>
      </c>
    </row>
    <row r="143" spans="1:24" x14ac:dyDescent="0.25">
      <c r="I143" s="1">
        <v>872</v>
      </c>
      <c r="J143" s="9">
        <v>7</v>
      </c>
      <c r="K143" s="9">
        <v>10000</v>
      </c>
      <c r="M143" s="7"/>
    </row>
    <row r="144" spans="1:24" x14ac:dyDescent="0.25">
      <c r="I144" s="1">
        <v>873</v>
      </c>
      <c r="J144" s="9">
        <v>7</v>
      </c>
      <c r="K144" s="9">
        <v>10000</v>
      </c>
      <c r="M144" s="7"/>
    </row>
    <row r="146" spans="3:5" x14ac:dyDescent="0.25">
      <c r="C146" s="7"/>
      <c r="D146" s="7"/>
      <c r="E146" s="7"/>
    </row>
    <row r="147" spans="3:5" x14ac:dyDescent="0.25">
      <c r="C147" s="7"/>
      <c r="D147" s="7"/>
      <c r="E147" s="7"/>
    </row>
    <row r="148" spans="3:5" x14ac:dyDescent="0.25">
      <c r="C148" s="7"/>
      <c r="D148" s="7"/>
    </row>
    <row r="149" spans="3:5" x14ac:dyDescent="0.25">
      <c r="C149" s="7"/>
      <c r="D149" s="7"/>
    </row>
    <row r="150" spans="3:5" x14ac:dyDescent="0.25">
      <c r="C150" s="7"/>
      <c r="D150" s="7"/>
    </row>
  </sheetData>
  <pageMargins left="0.7" right="0.7" top="0.75" bottom="0.75" header="0.3" footer="0.3"/>
  <pageSetup orientation="portrait" horizontalDpi="30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L68"/>
  <sheetViews>
    <sheetView workbookViewId="0">
      <selection activeCell="A19" sqref="A1:XFD19"/>
    </sheetView>
  </sheetViews>
  <sheetFormatPr defaultRowHeight="15" x14ac:dyDescent="0.25"/>
  <cols>
    <col min="3" max="3" width="21" customWidth="1"/>
    <col min="4" max="4" width="14.140625" customWidth="1"/>
    <col min="5" max="5" width="1.85546875" customWidth="1"/>
    <col min="6" max="6" width="9.85546875" customWidth="1"/>
    <col min="7" max="7" width="13.140625" bestFit="1" customWidth="1"/>
    <col min="8" max="8" width="15.28515625" bestFit="1" customWidth="1"/>
    <col min="9" max="9" width="14" bestFit="1" customWidth="1"/>
    <col min="10" max="10" width="16.42578125" bestFit="1" customWidth="1"/>
    <col min="11" max="11" width="29.7109375" bestFit="1" customWidth="1"/>
    <col min="12" max="12" width="24" bestFit="1" customWidth="1"/>
    <col min="13" max="13" width="22.28515625" bestFit="1" customWidth="1"/>
    <col min="14" max="14" width="24.7109375" bestFit="1" customWidth="1"/>
  </cols>
  <sheetData>
    <row r="2" spans="1:11" x14ac:dyDescent="0.25">
      <c r="A2" s="7"/>
    </row>
    <row r="3" spans="1:11" x14ac:dyDescent="0.25">
      <c r="A3" s="7"/>
    </row>
    <row r="4" spans="1:11" x14ac:dyDescent="0.25">
      <c r="A4" s="7"/>
      <c r="B4" s="7"/>
      <c r="C4" s="7"/>
      <c r="D4" s="7"/>
      <c r="E4" s="7"/>
      <c r="F4" s="7"/>
      <c r="G4" s="7"/>
      <c r="H4" s="7"/>
      <c r="I4" s="7"/>
      <c r="J4" s="7"/>
      <c r="K4" s="7"/>
    </row>
    <row r="5" spans="1:11" x14ac:dyDescent="0.25">
      <c r="A5" s="7"/>
      <c r="B5" s="7"/>
      <c r="C5" s="7"/>
      <c r="D5" s="7"/>
      <c r="E5" s="7"/>
      <c r="F5" s="7"/>
      <c r="G5" s="7"/>
      <c r="H5" s="7"/>
      <c r="I5" s="7"/>
      <c r="J5" s="7"/>
      <c r="K5" s="7"/>
    </row>
    <row r="6" spans="1:11" x14ac:dyDescent="0.25">
      <c r="A6" s="7"/>
      <c r="B6" s="7"/>
      <c r="C6" s="7"/>
      <c r="D6" s="7"/>
      <c r="E6" s="7"/>
      <c r="F6" s="7"/>
      <c r="G6" s="7"/>
      <c r="H6" s="7"/>
      <c r="I6" s="7"/>
      <c r="J6" s="7"/>
      <c r="K6" s="7"/>
    </row>
    <row r="7" spans="1:11" x14ac:dyDescent="0.25">
      <c r="A7" s="7"/>
      <c r="B7" s="7"/>
      <c r="C7" s="7"/>
      <c r="D7" s="7"/>
      <c r="E7" s="7"/>
      <c r="F7" s="7"/>
      <c r="G7" s="7"/>
      <c r="H7" s="7"/>
      <c r="I7" s="7"/>
      <c r="J7" s="7"/>
      <c r="K7" s="7"/>
    </row>
    <row r="8" spans="1:11" x14ac:dyDescent="0.25">
      <c r="A8" s="7"/>
      <c r="B8" s="7"/>
      <c r="C8" s="7"/>
      <c r="D8" s="7"/>
      <c r="E8" s="7"/>
      <c r="F8" s="7"/>
      <c r="G8" s="7"/>
      <c r="H8" s="7"/>
      <c r="I8" s="7"/>
      <c r="J8" s="7"/>
      <c r="K8" s="7"/>
    </row>
    <row r="9" spans="1:11" x14ac:dyDescent="0.25">
      <c r="A9" s="7"/>
      <c r="B9" s="7"/>
      <c r="C9" s="7"/>
      <c r="D9" s="7"/>
      <c r="E9" s="7"/>
      <c r="F9" s="7"/>
      <c r="G9" s="7"/>
      <c r="H9" s="7"/>
      <c r="I9" s="7"/>
      <c r="J9" s="7"/>
      <c r="K9" s="7"/>
    </row>
    <row r="10" spans="1:11" x14ac:dyDescent="0.25">
      <c r="A10" s="7"/>
      <c r="B10" s="7"/>
      <c r="C10" s="7"/>
      <c r="D10" s="7"/>
      <c r="E10" s="7"/>
      <c r="F10" s="7"/>
      <c r="G10" s="7"/>
      <c r="H10" s="7"/>
      <c r="I10" s="7"/>
      <c r="J10" s="7"/>
      <c r="K10" s="7"/>
    </row>
    <row r="11" spans="1:11" x14ac:dyDescent="0.25">
      <c r="A11" s="7"/>
      <c r="B11" s="7"/>
      <c r="C11" s="7"/>
      <c r="D11" s="7"/>
      <c r="E11" s="7"/>
      <c r="F11" s="7"/>
      <c r="G11" s="7"/>
      <c r="H11" s="7"/>
      <c r="I11" s="7"/>
      <c r="J11" s="7"/>
      <c r="K11" s="7"/>
    </row>
    <row r="12" spans="1:11" x14ac:dyDescent="0.25">
      <c r="A12" s="7"/>
      <c r="B12" s="7"/>
      <c r="C12" s="7"/>
      <c r="D12" s="7"/>
      <c r="E12" s="7"/>
      <c r="F12" s="7"/>
      <c r="G12" s="7"/>
      <c r="H12" s="7"/>
      <c r="I12" s="7"/>
      <c r="J12" s="7"/>
      <c r="K12" s="7"/>
    </row>
    <row r="13" spans="1:11" x14ac:dyDescent="0.25">
      <c r="A13" s="7"/>
      <c r="B13" s="7"/>
      <c r="C13" s="7"/>
      <c r="D13" s="7"/>
      <c r="E13" s="7"/>
      <c r="F13" s="7"/>
      <c r="G13" s="7"/>
      <c r="H13" s="7"/>
      <c r="I13" s="7"/>
      <c r="J13" s="7"/>
      <c r="K13" s="7"/>
    </row>
    <row r="14" spans="1:11" x14ac:dyDescent="0.25">
      <c r="A14" s="7"/>
      <c r="B14" s="7"/>
      <c r="C14" s="7"/>
      <c r="D14" s="7"/>
      <c r="E14" s="7"/>
      <c r="F14" s="7"/>
      <c r="G14" s="7"/>
      <c r="H14" s="7"/>
      <c r="I14" s="7"/>
      <c r="J14" s="7"/>
      <c r="K14" s="7"/>
    </row>
    <row r="15" spans="1:11" x14ac:dyDescent="0.25">
      <c r="A15" s="7"/>
      <c r="B15" s="7"/>
      <c r="C15" s="7"/>
      <c r="D15" s="7"/>
      <c r="E15" s="7"/>
      <c r="F15" s="7"/>
      <c r="G15" s="7"/>
      <c r="H15" s="7"/>
      <c r="I15" s="7"/>
      <c r="J15" s="7"/>
      <c r="K15" s="7"/>
    </row>
    <row r="16" spans="1:11" x14ac:dyDescent="0.25">
      <c r="A16" s="7"/>
      <c r="B16" s="7"/>
      <c r="C16" s="7"/>
      <c r="D16" s="7"/>
      <c r="E16" s="7"/>
      <c r="F16" s="7"/>
      <c r="G16" s="7"/>
      <c r="H16" s="7"/>
      <c r="I16" s="7"/>
      <c r="J16" s="7"/>
      <c r="K16" s="7"/>
    </row>
    <row r="17" spans="1:11" x14ac:dyDescent="0.25">
      <c r="A17" s="7"/>
      <c r="B17" s="7"/>
      <c r="C17" s="7"/>
      <c r="D17" s="7"/>
      <c r="E17" s="7"/>
      <c r="F17" s="7"/>
      <c r="G17" s="7"/>
      <c r="H17" s="7"/>
      <c r="I17" s="7"/>
      <c r="J17" s="7"/>
      <c r="K17" s="7"/>
    </row>
    <row r="18" spans="1:11" x14ac:dyDescent="0.25">
      <c r="A18" s="7"/>
      <c r="B18" s="7"/>
      <c r="C18" s="7"/>
      <c r="D18" s="7"/>
      <c r="E18" s="7"/>
      <c r="F18" s="7"/>
      <c r="G18" s="7"/>
      <c r="H18" s="7"/>
      <c r="I18" s="7"/>
      <c r="J18" s="7"/>
      <c r="K18" s="7"/>
    </row>
    <row r="25" spans="1:11" x14ac:dyDescent="0.25">
      <c r="A25" s="7"/>
      <c r="B25" s="7"/>
    </row>
    <row r="26" spans="1:11" x14ac:dyDescent="0.25">
      <c r="A26" s="7"/>
      <c r="B26" s="7"/>
    </row>
    <row r="27" spans="1:11" x14ac:dyDescent="0.25">
      <c r="A27" s="7"/>
      <c r="B27" s="7"/>
    </row>
    <row r="28" spans="1:11" x14ac:dyDescent="0.25">
      <c r="A28" s="7"/>
      <c r="B28" s="7"/>
    </row>
    <row r="29" spans="1:11" x14ac:dyDescent="0.25">
      <c r="A29" s="7"/>
      <c r="B29" s="7"/>
    </row>
    <row r="30" spans="1:11" x14ac:dyDescent="0.25">
      <c r="A30" s="7"/>
      <c r="B30" s="7"/>
    </row>
    <row r="31" spans="1:11" x14ac:dyDescent="0.25">
      <c r="A31" s="7"/>
      <c r="B31" s="7"/>
      <c r="C31" s="7"/>
      <c r="D31" s="7"/>
      <c r="E31" s="7"/>
      <c r="F31" s="7"/>
    </row>
    <row r="32" spans="1:11" x14ac:dyDescent="0.25">
      <c r="A32" s="7"/>
      <c r="B32" s="7"/>
      <c r="C32" s="7"/>
      <c r="D32" s="7"/>
      <c r="E32" s="7"/>
      <c r="F32" s="7"/>
    </row>
    <row r="33" spans="1:12" x14ac:dyDescent="0.25">
      <c r="A33" s="7"/>
      <c r="B33" s="7"/>
      <c r="C33" s="7"/>
      <c r="D33" s="7"/>
      <c r="E33" s="7"/>
      <c r="F33" s="7"/>
    </row>
    <row r="34" spans="1:12" x14ac:dyDescent="0.25">
      <c r="A34" s="7"/>
      <c r="B34" s="7"/>
      <c r="C34" s="7"/>
      <c r="D34" s="7"/>
      <c r="E34" s="7"/>
      <c r="F34" s="7"/>
    </row>
    <row r="35" spans="1:12" x14ac:dyDescent="0.25">
      <c r="A35" s="7"/>
      <c r="B35" s="7"/>
      <c r="C35" s="7"/>
      <c r="D35" s="7"/>
      <c r="E35" s="7"/>
      <c r="F35" s="7"/>
    </row>
    <row r="36" spans="1:12" x14ac:dyDescent="0.25">
      <c r="A36" s="7"/>
      <c r="B36" s="7"/>
      <c r="C36" s="7"/>
      <c r="D36" s="7"/>
      <c r="E36" s="7"/>
      <c r="F36" s="7"/>
    </row>
    <row r="37" spans="1:12" x14ac:dyDescent="0.25">
      <c r="A37" s="7"/>
      <c r="B37" s="7"/>
      <c r="C37" s="7"/>
      <c r="D37" s="7"/>
      <c r="E37" s="7"/>
      <c r="F37" s="7"/>
    </row>
    <row r="38" spans="1:12" x14ac:dyDescent="0.25">
      <c r="A38" s="7"/>
      <c r="B38" s="7"/>
      <c r="C38" s="7"/>
      <c r="D38" s="7"/>
      <c r="E38" s="7"/>
      <c r="F38" s="7"/>
    </row>
    <row r="39" spans="1:12" x14ac:dyDescent="0.25">
      <c r="A39" s="7"/>
      <c r="B39" s="7"/>
      <c r="C39" s="7"/>
      <c r="D39" s="7"/>
      <c r="E39" s="7"/>
      <c r="F39" s="7"/>
    </row>
    <row r="40" spans="1:12" x14ac:dyDescent="0.25">
      <c r="A40" s="7"/>
      <c r="B40" s="7"/>
      <c r="C40" s="7"/>
      <c r="D40" s="7"/>
      <c r="E40" s="7"/>
      <c r="F40" s="7"/>
      <c r="G40" s="7"/>
      <c r="H40" s="7"/>
      <c r="I40" s="7"/>
      <c r="J40" s="7"/>
      <c r="K40" s="7"/>
      <c r="L40" s="7"/>
    </row>
    <row r="41" spans="1:12" x14ac:dyDescent="0.25">
      <c r="A41" s="7"/>
      <c r="B41" s="7"/>
      <c r="C41" s="7"/>
      <c r="D41" s="7"/>
      <c r="E41" s="7"/>
      <c r="F41" s="7"/>
      <c r="G41" s="7"/>
      <c r="H41" s="7"/>
      <c r="I41" s="7"/>
      <c r="J41" s="7"/>
      <c r="K41" s="7"/>
      <c r="L41" s="7"/>
    </row>
    <row r="42" spans="1:12" x14ac:dyDescent="0.25">
      <c r="C42" s="7"/>
      <c r="D42" s="7"/>
      <c r="E42" s="7"/>
      <c r="F42" s="7"/>
    </row>
    <row r="43" spans="1:12" x14ac:dyDescent="0.25">
      <c r="C43" s="7"/>
      <c r="D43" s="7"/>
      <c r="E43" s="7"/>
      <c r="F43" s="7"/>
    </row>
    <row r="44" spans="1:12" x14ac:dyDescent="0.25">
      <c r="C44" s="7"/>
      <c r="D44" s="7"/>
      <c r="E44" s="7"/>
      <c r="F44" s="7"/>
    </row>
    <row r="45" spans="1:12" x14ac:dyDescent="0.25">
      <c r="C45" s="7"/>
      <c r="D45" s="7"/>
      <c r="E45" s="7"/>
      <c r="F45" s="7"/>
    </row>
    <row r="53" spans="3:6" x14ac:dyDescent="0.25">
      <c r="C53" s="6"/>
      <c r="D53" s="12"/>
      <c r="E53" s="12"/>
      <c r="F53" s="12"/>
    </row>
    <row r="54" spans="3:6" x14ac:dyDescent="0.25">
      <c r="C54" s="6"/>
      <c r="D54" s="12"/>
      <c r="E54" s="12"/>
      <c r="F54" s="12"/>
    </row>
    <row r="55" spans="3:6" x14ac:dyDescent="0.25">
      <c r="C55" s="6"/>
      <c r="D55" s="12"/>
      <c r="E55" s="12"/>
      <c r="F55" s="12"/>
    </row>
    <row r="56" spans="3:6" x14ac:dyDescent="0.25">
      <c r="C56" s="6"/>
      <c r="D56" s="12"/>
      <c r="E56" s="12"/>
      <c r="F56" s="12"/>
    </row>
    <row r="57" spans="3:6" x14ac:dyDescent="0.25">
      <c r="C57" s="6"/>
      <c r="D57" s="12"/>
      <c r="E57" s="12"/>
      <c r="F57" s="12"/>
    </row>
    <row r="58" spans="3:6" x14ac:dyDescent="0.25">
      <c r="C58" s="6"/>
      <c r="D58" s="12"/>
      <c r="E58" s="12"/>
      <c r="F58" s="12"/>
    </row>
    <row r="59" spans="3:6" x14ac:dyDescent="0.25">
      <c r="C59" s="6"/>
      <c r="D59" s="12"/>
      <c r="E59" s="12"/>
      <c r="F59" s="12"/>
    </row>
    <row r="60" spans="3:6" x14ac:dyDescent="0.25">
      <c r="C60" s="6"/>
      <c r="D60" s="12"/>
      <c r="E60" s="12"/>
      <c r="F60" s="12"/>
    </row>
    <row r="61" spans="3:6" x14ac:dyDescent="0.25">
      <c r="C61" s="6"/>
      <c r="D61" s="12"/>
      <c r="E61" s="12"/>
      <c r="F61" s="12"/>
    </row>
    <row r="62" spans="3:6" x14ac:dyDescent="0.25">
      <c r="C62" s="6"/>
      <c r="D62" s="12"/>
      <c r="E62" s="12"/>
      <c r="F62" s="12"/>
    </row>
    <row r="63" spans="3:6" x14ac:dyDescent="0.25">
      <c r="C63" s="6"/>
      <c r="D63" s="12"/>
      <c r="E63" s="12"/>
      <c r="F63" s="12"/>
    </row>
    <row r="64" spans="3:6" x14ac:dyDescent="0.25">
      <c r="C64" s="6"/>
      <c r="D64" s="12"/>
      <c r="E64" s="12"/>
      <c r="F64" s="12"/>
    </row>
    <row r="65" spans="3:6" x14ac:dyDescent="0.25">
      <c r="C65" s="6"/>
      <c r="D65" s="12"/>
      <c r="E65" s="12"/>
      <c r="F65" s="12"/>
    </row>
    <row r="66" spans="3:6" x14ac:dyDescent="0.25">
      <c r="C66" s="6"/>
      <c r="D66" s="12"/>
      <c r="E66" s="12"/>
      <c r="F66" s="12"/>
    </row>
    <row r="67" spans="3:6" x14ac:dyDescent="0.25">
      <c r="C67" s="6"/>
      <c r="D67" s="12"/>
      <c r="E67" s="12"/>
      <c r="F67" s="12"/>
    </row>
    <row r="68" spans="3:6" x14ac:dyDescent="0.25">
      <c r="C68" s="6"/>
      <c r="D68" s="12"/>
      <c r="E68" s="12"/>
      <c r="F68"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D16"/>
    </sheetView>
  </sheetViews>
  <sheetFormatPr defaultRowHeight="15" x14ac:dyDescent="0.25"/>
  <cols>
    <col min="1" max="1" width="15.140625" bestFit="1"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AD08BD7E-1CE1-442E-928C-D6C3939271AE}">
  <ds:schemaRefs/>
</ds:datastoreItem>
</file>

<file path=customXml/itemProps2.xml><?xml version="1.0" encoding="utf-8"?>
<ds:datastoreItem xmlns:ds="http://schemas.openxmlformats.org/officeDocument/2006/customXml" ds:itemID="{E7A990F4-1248-44A6-9356-AADEC468DEC0}">
  <ds:schemaRefs/>
</ds:datastoreItem>
</file>

<file path=customXml/itemProps3.xml><?xml version="1.0" encoding="utf-8"?>
<ds:datastoreItem xmlns:ds="http://schemas.openxmlformats.org/officeDocument/2006/customXml" ds:itemID="{11AC8883-312E-4B82-B025-3E274C6E439B}">
  <ds:schemaRefs/>
</ds:datastoreItem>
</file>

<file path=customXml/itemProps4.xml><?xml version="1.0" encoding="utf-8"?>
<ds:datastoreItem xmlns:ds="http://schemas.openxmlformats.org/officeDocument/2006/customXml" ds:itemID="{0D677468-8A3E-48CA-B6A7-2B0A6AB3CF4E}">
  <ds:schemaRefs/>
</ds:datastoreItem>
</file>

<file path=customXml/itemProps5.xml><?xml version="1.0" encoding="utf-8"?>
<ds:datastoreItem xmlns:ds="http://schemas.openxmlformats.org/officeDocument/2006/customXml" ds:itemID="{3A60B317-1472-4057-A3DB-4C1114CBD0B4}">
  <ds:schemaRefs/>
</ds:datastoreItem>
</file>

<file path=customXml/itemProps6.xml><?xml version="1.0" encoding="utf-8"?>
<ds:datastoreItem xmlns:ds="http://schemas.openxmlformats.org/officeDocument/2006/customXml" ds:itemID="{111D20B5-1E5D-4289-9285-C8AEA4584BD7}">
  <ds:schemaRefs/>
</ds:datastoreItem>
</file>

<file path=customXml/itemProps7.xml><?xml version="1.0" encoding="utf-8"?>
<ds:datastoreItem xmlns:ds="http://schemas.openxmlformats.org/officeDocument/2006/customXml" ds:itemID="{1CF4357A-5A70-4F6E-BDC3-E60096E44AD7}">
  <ds:schemaRefs/>
</ds:datastoreItem>
</file>

<file path=customXml/itemProps8.xml><?xml version="1.0" encoding="utf-8"?>
<ds:datastoreItem xmlns:ds="http://schemas.openxmlformats.org/officeDocument/2006/customXml" ds:itemID="{92469C5B-23A9-4F5D-A5EE-C1B49A196899}">
  <ds:schemaRefs/>
</ds:datastoreItem>
</file>

<file path=customXml/itemProps9.xml><?xml version="1.0" encoding="utf-8"?>
<ds:datastoreItem xmlns:ds="http://schemas.openxmlformats.org/officeDocument/2006/customXml" ds:itemID="{89DBDAA6-14CD-4869-9CCF-F5F72E66AADD}">
  <ds:schemaRefs/>
</ds:datastoreItem>
</file>

<file path=customXml/itemProps10.xml><?xml version="1.0" encoding="utf-8"?>
<ds:datastoreItem xmlns:ds="http://schemas.openxmlformats.org/officeDocument/2006/customXml" ds:itemID="{BA926031-762E-4660-A678-86CA3E5D7892}">
  <ds:schemaRefs/>
</ds:datastoreItem>
</file>

<file path=customXml/itemProps11.xml><?xml version="1.0" encoding="utf-8"?>
<ds:datastoreItem xmlns:ds="http://schemas.openxmlformats.org/officeDocument/2006/customXml" ds:itemID="{5A7DDB27-8183-47EB-9952-3522D729D4FE}">
  <ds:schemaRefs/>
</ds:datastoreItem>
</file>

<file path=customXml/itemProps12.xml><?xml version="1.0" encoding="utf-8"?>
<ds:datastoreItem xmlns:ds="http://schemas.openxmlformats.org/officeDocument/2006/customXml" ds:itemID="{BDA07745-8364-4A96-9178-10C963990E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Sheet1</vt:lpstr>
      <vt:lpstr>Sheet2</vt:lpstr>
      <vt:lpstr>Sheet3</vt:lpstr>
      <vt:lpstr>Sheet4</vt:lpstr>
      <vt:lpstr>Sheet1!brand</vt:lpstr>
      <vt:lpstr>Sheet1!brand_group</vt:lpstr>
      <vt:lpstr>Sheet1!brand_owner</vt:lpstr>
      <vt:lpstr>Sheet1!brand_owner_bsin_1</vt:lpstr>
      <vt:lpstr>Sheet1!brand_type</vt:lpstr>
      <vt:lpstr>Sheet1!ExternalData_1</vt:lpstr>
      <vt:lpstr>Sheet1!gs1_gcp</vt:lpstr>
      <vt:lpstr>Sheet1!gs1_gcp_gpc</vt:lpstr>
      <vt:lpstr>Sheet1!gs1_gcp_hier</vt:lpstr>
      <vt:lpstr>Sheet1!gs1_gcp_nb</vt:lpstr>
      <vt:lpstr>Sheet1!gs1_gcp_rc</vt:lpstr>
      <vt:lpstr>Sheet1!gs1_prefix</vt:lpstr>
      <vt:lpstr>Sheet1!gtin_1</vt:lpstr>
      <vt:lpstr>Sheet1!GTIN_Tables_And_Record_Counts</vt:lpstr>
      <vt:lpstr>Sheet1!label</vt:lpstr>
      <vt:lpstr>Sheet1!label_gtn</vt:lpstr>
      <vt:lpstr>Sheet1!nutrition</vt:lpstr>
      <vt:lpstr>Sheet1!pkg_type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dcterms:created xsi:type="dcterms:W3CDTF">2016-10-29T01:51:19Z</dcterms:created>
  <dcterms:modified xsi:type="dcterms:W3CDTF">2016-11-03T01:00:00Z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