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13800"/>
  </bookViews>
  <sheets>
    <sheet name="Schema" sheetId="1" r:id="rId1"/>
    <sheet name="Tables" sheetId="2" r:id="rId2"/>
    <sheet name="Sheet3" sheetId="3" r:id="rId3"/>
    <sheet name="Sheet4" sheetId="4" r:id="rId4"/>
  </sheets>
  <definedNames>
    <definedName name="_xlnm._FilterDatabase" localSheetId="3" hidden="1">Sheet4!$A$1:$B$1</definedName>
    <definedName name="brand" localSheetId="0">Schema!$F$27:$I$46</definedName>
    <definedName name="brand_owner" localSheetId="0">Schema!$N$27:$Q$37</definedName>
    <definedName name="brand_owner_bsin" localSheetId="0">Schema!$K$27:$L$46</definedName>
    <definedName name="brand_type" localSheetId="0">Schema!$H$21:$I$23</definedName>
    <definedName name="ExternalData" localSheetId="0">Schema!$J$2:$M$15</definedName>
    <definedName name="gs1_gcp" localSheetId="0">Schema!$A$52:$W$59</definedName>
    <definedName name="gs1_gcp_gpc" localSheetId="0">Schema!$B$91:$F$106</definedName>
    <definedName name="gs1_gcp_hier" localSheetId="0">Schema!$A$27:$D$42</definedName>
    <definedName name="gs1_gcp_nb">Schema!$P$88:$R$101</definedName>
    <definedName name="gs1_gcp_rc" localSheetId="0">Schema!$T$27:$V$43</definedName>
    <definedName name="gs1_prefix" localSheetId="0">Schema!$K$93:$M$105</definedName>
    <definedName name="gtin" localSheetId="0">Schema!$A$65:$U$85</definedName>
    <definedName name="GTIN_Tables_And_Record_Counts" localSheetId="0">Schema!$B$2:$K$16</definedName>
    <definedName name="nutrition" localSheetId="0">Schema!$A$115:$AD$135</definedName>
    <definedName name="pkg_type">Schema!$W$64:$Y$85</definedName>
    <definedName name="_xlnm.Print_Area" localSheetId="0">Schema!$A$1:$AD$136</definedName>
  </definedNames>
  <calcPr calcId="145621"/>
</workbook>
</file>

<file path=xl/calcChain.xml><?xml version="1.0" encoding="utf-8"?>
<calcChain xmlns="http://schemas.openxmlformats.org/spreadsheetml/2006/main">
  <c r="F15" i="2" l="1"/>
  <c r="F3" i="2"/>
  <c r="F4" i="2"/>
  <c r="F5" i="2"/>
  <c r="F6" i="2"/>
  <c r="F7" i="2"/>
  <c r="F8" i="2"/>
  <c r="F9" i="2"/>
  <c r="F10" i="2"/>
  <c r="F11" i="2"/>
  <c r="F12" i="2"/>
  <c r="F13" i="2"/>
  <c r="F14" i="2"/>
  <c r="F2" i="2"/>
  <c r="B15" i="2" l="1"/>
  <c r="C3" i="4" l="1"/>
  <c r="C4" i="4"/>
  <c r="C2" i="4"/>
  <c r="B5" i="4"/>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bb33234d-bb59-413c-9f34-2ef553a1cb74)$;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<sst xmlns="http://schemas.openxmlformats.org/spreadsheetml/2006/main" count="890" uniqueCount="414">
  <si>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</si>
  <si>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</si>
  <si>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</si>
  <si>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</si>
  <si>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</si>
  <si>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</si>
  <si>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</si>
  <si>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</si>
  <si>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</si>
  <si>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</si>
  <si>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</si>
  <si>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</si>
  <si>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</si>
  <si>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</si>
  <si>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</si>
  <si>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</si>
  <si>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</si>
  <si>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</si>
  <si>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</si>
  <si>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</si>
  <si>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</si>
  <si>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</si>
  <si>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</si>
  <si>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</si>
  <si>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</si>
  <si>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</si>
  <si>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</si>
  <si>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</si>
  <si>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</si>
  <si>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</si>
  <si>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</si>
  <si>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</si>
  <si>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</si>
  <si>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</si>
  <si>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</si>
  <si>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</si>
  <si>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</si>
  <si>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</si>
  <si>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</si>
  <si>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</si>
  <si>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</si>
  <si>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</si>
  <si>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</si>
  <si>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</si>
  <si>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</si>
  <si>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</si>
  <si>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</si>
  <si>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</si>
  <si>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</si>
  <si>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</si>
  <si>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</si>
  <si>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</si>
  <si>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</si>
  <si>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</si>
  <si>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</si>
  <si>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</si>
  <si>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</si>
  <si>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</si>
  <si>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</si>
  <si>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</si>
  <si>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</si>
  <si>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</si>
  <si>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</si>
  <si>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</si>
  <si>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</si>
  <si>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</si>
  <si>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</si>
  <si>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</si>
  <si>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</si>
  <si>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</si>
  <si>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</si>
  <si>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</si>
  <si>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</si>
  <si>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</si>
  <si>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</si>
  <si>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</si>
  <si>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</si>
  <si>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</si>
  <si>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</si>
  <si>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</si>
  <si>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</si>
  <si>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</si>
  <si>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</si>
  <si>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</si>
  <si>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</si>
  <si>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</si>
  <si>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</si>
  <si>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</si>
  <si>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</si>
  <si>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</si>
  <si>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</si>
  <si>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</si>
  <si>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</si>
  <si>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</si>
  <si>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</si>
  <si>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</si>
  <si>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</si>
  <si>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</si>
  <si>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</si>
  <si>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</si>
  <si>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</si>
  <si>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</si>
  <si>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</si>
  <si>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</si>
  <si>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</si>
  <si>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</si>
  <si>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</si>
  <si>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</si>
  <si>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</si>
  <si>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</si>
  <si>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</si>
  <si>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</si>
  <si>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</si>
  <si>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</si>
  <si>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</si>
  <si>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</si>
  <si>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</si>
  <si>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</si>
  <si>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</si>
  <si>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</si>
  <si>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</si>
  <si>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</si>
  <si>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</si>
  <si>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</si>
  <si>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</si>
  <si>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</si>
  <si>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</si>
  <si>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</si>
  <si>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</si>
  <si>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</si>
  <si>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</si>
  <si>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</si>
  <si>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</si>
  <si>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</si>
  <si>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</si>
  <si>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</si>
  <si>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</si>
  <si>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</si>
  <si>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</si>
  <si>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</si>
  <si>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</si>
  <si>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</si>
  <si>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</si>
  <si>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</si>
  <si>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</si>
  <si>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</si>
  <si>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</si>
  <si>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</si>
  <si>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</si>
  <si>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</si>
  <si>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</si>
  <si>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</si>
  <si>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</si>
  <si>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</si>
  <si>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</si>
  <si>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</si>
  <si>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</si>
  <si>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</si>
  <si>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</si>
  <si>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</si>
  <si>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</si>
  <si>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</si>
  <si>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</si>
  <si>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</si>
  <si>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</si>
  <si>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</si>
  <si>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</si>
  <si>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</si>
  <si>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</si>
  <si>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</si>
  <si>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</si>
  <si>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</si>
  <si>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</si>
  <si>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</si>
  <si>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</si>
  <si>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</si>
  <si>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</si>
  <si>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</si>
  <si>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</si>
  <si>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</si>
  <si>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</si>
  <si>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</si>
  <si>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</si>
  <si>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</si>
  <si>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</si>
  <si>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</si>
  <si>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</si>
  <si>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</si>
  <si>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</si>
  <si>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</si>
  <si>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</si>
  <si>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</si>
  <si>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</si>
  <si>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</si>
  <si>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</si>
  <si>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</si>
  <si>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</si>
  <si>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</si>
  <si>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</si>
  <si>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</si>
  <si>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</si>
  <si>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</si>
  <si>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</si>
  <si>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</si>
  <si>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</si>
  <si>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</si>
  <si>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</si>
  <si>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</si>
  <si>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</si>
  <si>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</si>
  <si>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</si>
  <si>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</si>
  <si>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</si>
  <si>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</si>
  <si>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</si>
  <si>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</si>
  <si>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</si>
  <si>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</si>
  <si>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</si>
  <si>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</si>
  <si>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</si>
  <si>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</si>
  <si>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</si>
  <si>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</si>
  <si>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</si>
  <si>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</si>
  <si>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</si>
  <si>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</si>
  <si>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</si>
  <si>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</si>
  <si>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</si>
  <si>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</si>
  <si>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</si>
  <si>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</si>
  <si>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</si>
  <si>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</si>
  <si>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</si>
  <si>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</si>
  <si>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</si>
  <si>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</si>
  <si>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</si>
  <si>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</si>
  <si>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</si>
  <si>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</si>
  <si>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</si>
  <si>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</si>
  <si>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</si>
  <si>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</si>
  <si>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</si>
  <si>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</si>
  <si>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</si>
  <si>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</si>
  <si>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</si>
  <si>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</si>
  <si>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</si>
  <si>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</si>
  <si>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</si>
  <si>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</si>
  <si>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</si>
  <si>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</si>
  <si>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</si>
  <si>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</si>
  <si>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</si>
  <si>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</si>
  <si>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</si>
  <si>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</si>
  <si>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</si>
  <si>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</si>
  <si>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</si>
  <si>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</si>
  <si>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</si>
  <si>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</si>
  <si>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</si>
  <si>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</si>
  <si>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</si>
  <si>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</si>
  <si>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</si>
  <si>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</si>
  <si>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</si>
  <si>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</si>
  <si>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</si>
  <si>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</si>
  <si>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</si>
  <si>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</si>
  <si>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</si>
  <si>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</si>
  <si>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</si>
  <si>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</si>
  <si>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</si>
  <si>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</si>
  <si>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</si>
  <si>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</si>
  <si>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</si>
  <si>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</si>
  <si>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</si>
  <si>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</si>
  <si>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</si>
  <si>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</si>
  <si>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</si>
  <si>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</si>
  <si>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</si>
  <si>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</si>
  <si>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</si>
  <si>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</si>
  <si>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</si>
  <si>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</si>
  <si>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</si>
  <si>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</si>
  <si>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</si>
  <si>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</si>
  <si>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</si>
  <si>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</si>
  <si>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</si>
  <si>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</si>
  <si>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</si>
  <si>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</si>
  <si>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</si>
  <si>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</si>
  <si>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</si>
  <si>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</si>
  <si>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</si>
  <si>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</si>
  <si>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</si>
  <si>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</si>
  <si>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</si>
  <si>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</si>
  <si>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</si>
  <si>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</si>
  <si>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</si>
  <si>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</si>
  <si>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</si>
  <si>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</si>
  <si>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</si>
  <si>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</si>
  <si>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</si>
  <si>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</si>
  <si>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</si>
  <si>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</si>
  <si>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</si>
  <si>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</si>
  <si>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</si>
  <si>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</si>
  <si>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</si>
  <si>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</si>
  <si>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</si>
  <si>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</si>
  <si>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</si>
  <si>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</si>
  <si>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</si>
  <si>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</si>
  <si>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</si>
  <si>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</si>
  <si>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</si>
  <si>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</si>
  <si>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</si>
  <si>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</si>
  <si>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</si>
  <si>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</si>
  <si>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</si>
  <si>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</si>
  <si>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</si>
  <si>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</si>
  <si>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</si>
  <si>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</si>
  <si>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</si>
  <si>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</si>
  <si>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</si>
  <si>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</si>
  <si>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</si>
  <si>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Marvin, Consider these charts:</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</si>
  <si>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</si>
  <si>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</si>
  <si>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</si>
  <si>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</si>
  <si>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</si>
  <si>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</si>
  <si>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</si>
  <si>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</si>
  <si>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</si>
  <si>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</si>
  <si>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</si>
  <si>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prefix_cd , gcp_length</t>
  </si>
  <si>
    <t>GPC_LANG , GPC_CD</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</si>
  <si>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</si>
  <si>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</si>
  <si>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</si>
  <si>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</si>
  <si>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</si>
  <si>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</si>
  <si>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</si>
  <si>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</si>
  <si>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</si>
  <si>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</si>
  <si>
    <t>Invalid or Missing</t>
  </si>
  <si>
    <t>GS1 Issue Country only</t>
  </si>
  <si>
    <t>Global Location Number found</t>
  </si>
  <si>
    <t>Status</t>
  </si>
  <si>
    <t>Count</t>
  </si>
  <si>
    <t>Pct Of Total</t>
  </si>
  <si>
    <t>Total</t>
  </si>
  <si>
    <t>Columns</t>
  </si>
  <si>
    <t>Fields</t>
  </si>
  <si>
    <t>GPC classification codes in several languages</t>
  </si>
  <si>
    <t>Packaging Options (bottle, can, jar,…) and material (glass, plastic,…)</t>
  </si>
  <si>
    <t xml:space="preserve"> U.S. Nutrition Facts Label required by FDA</t>
  </si>
  <si>
    <t xml:space="preserve">pkg_type_cd </t>
  </si>
  <si>
    <t xml:space="preserve">GTIN_CD </t>
  </si>
  <si>
    <t xml:space="preserve">PREFIX_CD </t>
  </si>
  <si>
    <t xml:space="preserve">GPC_B_CD </t>
  </si>
  <si>
    <t xml:space="preserve">RETURN_CODE </t>
  </si>
  <si>
    <t xml:space="preserve">GCP_CD </t>
  </si>
  <si>
    <t xml:space="preserve">BRAND_TYPE_CD </t>
  </si>
  <si>
    <t xml:space="preserve">BSIN </t>
  </si>
  <si>
    <t xml:space="preserve">OWNER_CD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</si>
</sst>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164" fontId="0" fillId="0" borderId="0" xfId="1" applyNumberFormat="1" applyFont="1" applyAlignment="1">
      <alignment vertical="center" wrapText="1"/>
    </xf>
    <xf numFmtId="164" fontId="0" fillId="0" borderId="0" xfId="0" applyNumberFormat="1"/>
    <xf numFmtId="9" fontId="0" fillId="0" borderId="0" xfId="2" applyFont="1"/>
    <xf numFmtId="0" fontId="0" fillId="2" borderId="0" xfId="0" applyFill="1" applyAlignment="1">
      <alignment horizontal="right" vertical="center" wrapText="1"/>
    </xf>
    <xf numFmtId="164" fontId="0" fillId="2" borderId="0" xfId="0" applyNumberFormat="1" applyFill="1" applyAlignment="1">
      <alignment vertical="center" wrapText="1"/>
    </xf>
    <xf numFmtId="164" fontId="2" fillId="7" borderId="1" xfId="1" applyNumberFormat="1" applyFont="1" applyFill="1" applyBorder="1"/>
    <xf numFmtId="0" fontId="4" fillId="0" borderId="14" xfId="0" quotePrefix="1" applyFont="1" applyBorder="1" applyAlignment="1">
      <alignment vertical="center" wrapText="1"/>
    </xf>
    <xf numFmtId="0" fontId="4" fillId="0" borderId="11" xfId="0" applyFont="1" applyBorder="1" applyAlignment="1">
      <alignment vertical="center" wrapText="1"/>
    </xf>
  </cellXfs>
  <cellStyles count="3">
    <cellStyle name="Comma" xfId="1" builtinId="3"/>
    <cellStyle name="Normal" xfId="0" builtinId="0"/>
    <cellStyle name="Percent" xfId="2" builtinId="5"/>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7.4915760011326382E-2"/>
          <c:y val="0.15318986959090847"/>
          <c:w val="0.81120920050968737"/>
          <c:h val="0.51178381498124248"/>
        </c:manualLayout>
      </c:layout>
      <c:pieChart>
        <c:varyColors val="1"/>
        <c:ser>
          <c:idx val="0"/>
          <c:order val="0"/>
          <c:tx>
            <c:strRef>
              <c:f>Sheet4!$B$1</c:f>
              <c:strCache>
                <c:ptCount val="1"/>
                <c:pt idx="0">
                  <c:v>Count</c:v>
                </c:pt>
              </c:strCache>
            </c:strRef>
          </c:tx>
          <c:explosion val="14"/>
          <c:dLbls>
            <c:dLbl>
              <c:idx val="0"/>
              <c:layout>
                <c:manualLayout>
                  <c:x val="-0.26925933038857947"/>
                  <c:y val="-1.5785958692336233E-2"/>
                </c:manualLayout>
              </c:layout>
              <c:showLegendKey val="1"/>
              <c:showVal val="1"/>
              <c:showCatName val="0"/>
              <c:showSerName val="0"/>
              <c:showPercent val="0"/>
              <c:showBubbleSize val="0"/>
            </c:dLbl>
            <c:dLbl>
              <c:idx val="1"/>
              <c:layout>
                <c:manualLayout>
                  <c:x val="2.8276755861948787E-2"/>
                  <c:y val="-5.3255555097497631E-2"/>
                </c:manualLayout>
              </c:layout>
              <c:showLegendKey val="1"/>
              <c:showVal val="1"/>
              <c:showCatName val="0"/>
              <c:showSerName val="0"/>
              <c:showPercent val="1"/>
              <c:showBubbleSize val="0"/>
            </c:dLbl>
            <c:dLbl>
              <c:idx val="2"/>
              <c:layout>
                <c:manualLayout>
                  <c:x val="0.1146474118121127"/>
                  <c:y val="4.7419164227508213E-2"/>
                </c:manualLayout>
              </c:layout>
              <c:showLegendKey val="1"/>
              <c:showVal val="1"/>
              <c:showCatName val="0"/>
              <c:showSerName val="0"/>
              <c:showPercent val="0"/>
              <c:showBubbleSize val="0"/>
            </c:dLbl>
            <c:numFmt formatCode="#,##0" sourceLinked="0"/>
            <c:showLegendKey val="1"/>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2.5597166207882556E-2"/>
          <c:y val="0.64233966827444999"/>
          <c:w val="0.88996286252600154"/>
          <c:h val="0.25115157480314959"/>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Count of GLN's found in POD</a:t>
            </a:r>
          </a:p>
        </c:rich>
      </c:tx>
      <c:layout>
        <c:manualLayout>
          <c:xMode val="edge"/>
          <c:yMode val="edge"/>
          <c:x val="0.13553072625698323"/>
          <c:y val="3.2051298229001733E-2"/>
        </c:manualLayout>
      </c:layout>
      <c:overlay val="0"/>
    </c:title>
    <c:autoTitleDeleted val="0"/>
    <c:plotArea>
      <c:layout/>
      <c:pieChart>
        <c:varyColors val="1"/>
        <c:ser>
          <c:idx val="0"/>
          <c:order val="0"/>
          <c:tx>
            <c:strRef>
              <c:f>Sheet4!$B$1</c:f>
              <c:strCache>
                <c:ptCount val="1"/>
                <c:pt idx="0">
                  <c:v>Count</c:v>
                </c:pt>
              </c:strCache>
            </c:strRef>
          </c:tx>
          <c:dPt>
            <c:idx val="0"/>
            <c:bubble3D val="0"/>
            <c:explosion val="26"/>
          </c:dPt>
          <c:dPt>
            <c:idx val="1"/>
            <c:bubble3D val="0"/>
            <c:explosion val="14"/>
          </c:dPt>
          <c:dLbls>
            <c:dLbl>
              <c:idx val="0"/>
              <c:layout>
                <c:manualLayout>
                  <c:x val="0.3373633044472793"/>
                  <c:y val="0.20149010775797888"/>
                </c:manualLayout>
              </c:layout>
              <c:showLegendKey val="0"/>
              <c:showVal val="1"/>
              <c:showCatName val="0"/>
              <c:showSerName val="0"/>
              <c:showPercent val="0"/>
              <c:showBubbleSize val="0"/>
            </c:dLbl>
            <c:dLbl>
              <c:idx val="1"/>
              <c:layout>
                <c:manualLayout>
                  <c:x val="-2.1044590096628915E-2"/>
                  <c:y val="0.27164257603602665"/>
                </c:manualLayout>
              </c:layout>
              <c:showLegendKey val="0"/>
              <c:showVal val="1"/>
              <c:showCatName val="0"/>
              <c:showSerName val="0"/>
              <c:showPercent val="0"/>
              <c:showBubbleSize val="0"/>
            </c:dLbl>
            <c:dLbl>
              <c:idx val="2"/>
              <c:layout>
                <c:manualLayout>
                  <c:x val="-3.656241293860614E-2"/>
                  <c:y val="-9.0581511498844889E-3"/>
                </c:manualLayout>
              </c:layout>
              <c:showLegendKey val="0"/>
              <c:showVal val="1"/>
              <c:showCatName val="0"/>
              <c:showSerName val="0"/>
              <c:showPercent val="0"/>
              <c:showBubbleSize val="0"/>
            </c:dLbl>
            <c:showLegendKey val="0"/>
            <c:showVal val="1"/>
            <c:showCatName val="0"/>
            <c:showSerName val="0"/>
            <c:showPercent val="0"/>
            <c:showBubbleSize val="0"/>
            <c:showLeaderLines val="1"/>
          </c:dLbls>
          <c:cat>
            <c:strRef>
              <c:f>Sheet4!$A$2:$A$4</c:f>
              <c:strCache>
                <c:ptCount val="3"/>
                <c:pt idx="0">
                  <c:v>Invalid or Missing</c:v>
                </c:pt>
                <c:pt idx="1">
                  <c:v>Global Location Number found</c:v>
                </c:pt>
                <c:pt idx="2">
                  <c:v>GS1 Issue Country only</c:v>
                </c:pt>
              </c:strCache>
            </c:strRef>
          </c:cat>
          <c:val>
            <c:numRef>
              <c:f>Sheet4!$B$2:$B$4</c:f>
              <c:numCache>
                <c:formatCode>_(* #,##0_);_(* \(#,##0\);_(* "-"??_);_(@_)</c:formatCode>
                <c:ptCount val="3"/>
                <c:pt idx="0">
                  <c:v>1098018</c:v>
                </c:pt>
                <c:pt idx="1">
                  <c:v>540580</c:v>
                </c:pt>
                <c:pt idx="2">
                  <c:v>35066</c:v>
                </c:pt>
              </c:numCache>
            </c:numRef>
          </c:val>
        </c:ser>
        <c:ser>
          <c:idx val="1"/>
          <c:order val="1"/>
          <c:tx>
            <c:strRef>
              <c:f>Sheet4!$C$1</c:f>
              <c:strCache>
                <c:ptCount val="1"/>
                <c:pt idx="0">
                  <c:v>Pct Of Total</c:v>
                </c:pt>
              </c:strCache>
            </c:strRef>
          </c:tx>
          <c:explosion val="25"/>
          <c:cat>
            <c:strRef>
              <c:f>Sheet4!$A$2:$A$4</c:f>
              <c:strCache>
                <c:ptCount val="3"/>
                <c:pt idx="0">
                  <c:v>Invalid or Missing</c:v>
                </c:pt>
                <c:pt idx="1">
                  <c:v>Global Location Number found</c:v>
                </c:pt>
                <c:pt idx="2">
                  <c:v>GS1 Issue Country only</c:v>
                </c:pt>
              </c:strCache>
            </c:strRef>
          </c:cat>
          <c:val>
            <c:numRef>
              <c:f>Sheet4!$C$2:$C$4</c:f>
              <c:numCache>
                <c:formatCode>0%</c:formatCode>
                <c:ptCount val="3"/>
                <c:pt idx="0">
                  <c:v>0.65605641275668236</c:v>
                </c:pt>
                <c:pt idx="1">
                  <c:v>0.32299195059462354</c:v>
                </c:pt>
                <c:pt idx="2">
                  <c:v>2.0951636648694122E-2</c:v>
                </c:pt>
              </c:numCache>
            </c:numRef>
          </c:val>
        </c:ser>
        <c:dLbls>
          <c:showLegendKey val="0"/>
          <c:showVal val="0"/>
          <c:showCatName val="0"/>
          <c:showSerName val="0"/>
          <c:showPercent val="0"/>
          <c:showBubbleSize val="0"/>
          <c:showLeaderLines val="1"/>
        </c:dLbls>
        <c:firstSliceAng val="134"/>
      </c:pieChart>
    </c:plotArea>
    <c:legend>
      <c:legendPos val="r"/>
      <c:layout>
        <c:manualLayout>
          <c:xMode val="edge"/>
          <c:yMode val="edge"/>
          <c:x val="0.48357805832930101"/>
          <c:y val="0.20943861184018669"/>
          <c:w val="0.47753339491781399"/>
          <c:h val="0.41896981627296587"/>
        </c:manualLayout>
      </c:layout>
      <c:overlay val="0"/>
    </c:legend>
    <c:plotVisOnly val="1"/>
    <c:dispBlanksAs val="gap"/>
    <c:showDLblsOverMax val="0"/>
  </c:chart>
  <c:printSettings>
    <c:headerFooter/>
    <c:pageMargins b="0.75" l="0.7" r="0.7" t="0.75" header="0.3" footer="0.3"/>
    <c:pageSetup/>
  </c:printSettings>
</c:chartSpac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57150</xdr:colOff>
      <xdr:row>10</xdr:row>
      <xdr:rowOff>28575</xdr:rowOff>
    </xdr:from>
    <xdr:to>
      <xdr:col>16</xdr:col>
      <xdr:colOff>523875</xdr:colOff>
      <xdr:row>29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16</xdr:row>
      <xdr:rowOff>95250</xdr:rowOff>
    </xdr:from>
    <xdr:to>
      <xdr:col>8</xdr:col>
      <xdr:colOff>314325</xdr:colOff>
      <xdr:row>26</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abSelected="1" topLeftCell="A19" zoomScale="30" zoomScaleNormal="30" workbookViewId="0">
      <selection activeCell="Q100" sqref="Q100"/>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392</v>
      </c>
      <c r="I2" s="10"/>
      <c r="J2" s="45" t="s">
        <v>235</v>
      </c>
      <c r="K2" s="13" t="s">
        <v>86</v>
      </c>
      <c r="L2" s="13" t="s">
        <v>238</v>
      </c>
      <c r="M2" s="14" t="s">
        <v>239</v>
      </c>
    </row>
    <row r="3" spans="1:13" x14ac:dyDescent="0.25">
      <c r="A3" s="4"/>
      <c r="B3" s="31" t="s">
        <v>55</v>
      </c>
      <c r="C3" s="32">
        <v>4151</v>
      </c>
      <c r="D3" s="48" t="s">
        <v>364</v>
      </c>
      <c r="E3" s="58"/>
      <c r="F3" s="58"/>
      <c r="G3" s="59"/>
      <c r="H3" s="1" t="str">
        <f t="shared" ref="H3:H15" si="0">+L3&amp;" , "&amp;M3</f>
        <v xml:space="preserve">BSIN , </v>
      </c>
      <c r="I3" s="47"/>
      <c r="J3" s="46" t="s">
        <v>236</v>
      </c>
      <c r="K3" s="11" t="s">
        <v>55</v>
      </c>
      <c r="L3" s="11" t="s">
        <v>2</v>
      </c>
      <c r="M3" s="12"/>
    </row>
    <row r="4" spans="1:13" x14ac:dyDescent="0.25">
      <c r="A4" s="4"/>
      <c r="B4" s="31" t="s">
        <v>88</v>
      </c>
      <c r="C4" s="32">
        <v>32</v>
      </c>
      <c r="D4" s="32" t="s">
        <v>371</v>
      </c>
      <c r="E4" s="48"/>
      <c r="F4" s="58"/>
      <c r="G4" s="59"/>
      <c r="H4" s="1" t="str">
        <f t="shared" si="0"/>
        <v xml:space="preserve">OWNER_CD , </v>
      </c>
      <c r="I4" s="47"/>
      <c r="J4" s="46" t="s">
        <v>236</v>
      </c>
      <c r="K4" s="11" t="s">
        <v>88</v>
      </c>
      <c r="L4" s="11" t="s">
        <v>3</v>
      </c>
      <c r="M4" s="12"/>
    </row>
    <row r="5" spans="1:13" x14ac:dyDescent="0.25">
      <c r="A5" s="4"/>
      <c r="B5" s="31" t="s">
        <v>85</v>
      </c>
      <c r="C5" s="32">
        <v>581</v>
      </c>
      <c r="D5" s="32" t="s">
        <v>370</v>
      </c>
      <c r="E5" s="48"/>
      <c r="F5" s="58"/>
      <c r="G5" s="59"/>
      <c r="H5" s="1" t="str">
        <f t="shared" si="0"/>
        <v xml:space="preserve">BSIN , </v>
      </c>
      <c r="I5" s="47"/>
      <c r="J5" s="46" t="s">
        <v>236</v>
      </c>
      <c r="K5" s="11" t="s">
        <v>85</v>
      </c>
      <c r="L5" s="11" t="s">
        <v>2</v>
      </c>
      <c r="M5" s="12"/>
    </row>
    <row r="6" spans="1:13" x14ac:dyDescent="0.25">
      <c r="A6" s="4"/>
      <c r="B6" s="31" t="s">
        <v>89</v>
      </c>
      <c r="C6" s="32">
        <v>2</v>
      </c>
      <c r="D6" s="32" t="s">
        <v>365</v>
      </c>
      <c r="E6" s="48"/>
      <c r="F6" s="58"/>
      <c r="G6" s="59"/>
      <c r="H6" s="1" t="str">
        <f t="shared" si="0"/>
        <v xml:space="preserve">BRAND_TYPE_CD , </v>
      </c>
      <c r="I6" s="47"/>
      <c r="J6" s="46" t="s">
        <v>236</v>
      </c>
      <c r="K6" s="11" t="s">
        <v>89</v>
      </c>
      <c r="L6" s="11" t="s">
        <v>24</v>
      </c>
      <c r="M6" s="12"/>
    </row>
    <row r="7" spans="1:13" x14ac:dyDescent="0.25">
      <c r="A7" s="4"/>
      <c r="B7" s="33" t="s">
        <v>90</v>
      </c>
      <c r="C7" s="34">
        <v>1549550</v>
      </c>
      <c r="D7" s="34" t="s">
        <v>377</v>
      </c>
      <c r="E7" s="49"/>
      <c r="F7" s="60"/>
      <c r="G7" s="61"/>
      <c r="H7" s="1" t="str">
        <f t="shared" si="0"/>
        <v xml:space="preserve">GCP_CD , </v>
      </c>
      <c r="I7" s="47"/>
      <c r="J7" s="46" t="s">
        <v>236</v>
      </c>
      <c r="K7" s="11" t="s">
        <v>90</v>
      </c>
      <c r="L7" s="11" t="s">
        <v>103</v>
      </c>
      <c r="M7" s="12"/>
    </row>
    <row r="8" spans="1:13" x14ac:dyDescent="0.25">
      <c r="A8" s="10"/>
      <c r="B8" s="33" t="s">
        <v>91</v>
      </c>
      <c r="C8" s="34">
        <v>264</v>
      </c>
      <c r="D8" s="34" t="s">
        <v>376</v>
      </c>
      <c r="E8" s="49"/>
      <c r="F8" s="60"/>
      <c r="G8" s="61"/>
      <c r="H8" s="1" t="str">
        <f t="shared" si="0"/>
        <v>prefix_cd , gcp_length</v>
      </c>
      <c r="I8" s="47"/>
      <c r="J8" s="46" t="s">
        <v>236</v>
      </c>
      <c r="K8" s="11" t="s">
        <v>91</v>
      </c>
      <c r="L8" s="11" t="s">
        <v>168</v>
      </c>
      <c r="M8" s="12" t="s">
        <v>169</v>
      </c>
    </row>
    <row r="9" spans="1:13" x14ac:dyDescent="0.25">
      <c r="A9" s="4"/>
      <c r="B9" s="33" t="s">
        <v>92</v>
      </c>
      <c r="C9" s="34">
        <v>16</v>
      </c>
      <c r="D9" s="34" t="s">
        <v>375</v>
      </c>
      <c r="E9" s="49"/>
      <c r="F9" s="60"/>
      <c r="G9" s="61"/>
      <c r="H9" s="1" t="str">
        <f t="shared" si="0"/>
        <v xml:space="preserve">RETURN_CODE , </v>
      </c>
      <c r="I9" s="47"/>
      <c r="J9" s="46" t="s">
        <v>236</v>
      </c>
      <c r="K9" s="11" t="s">
        <v>92</v>
      </c>
      <c r="L9" s="11" t="s">
        <v>123</v>
      </c>
      <c r="M9" s="12"/>
    </row>
    <row r="10" spans="1:13" x14ac:dyDescent="0.25">
      <c r="A10" s="4"/>
      <c r="B10" s="35" t="s">
        <v>93</v>
      </c>
      <c r="C10" s="36">
        <v>38760</v>
      </c>
      <c r="D10" s="36" t="s">
        <v>378</v>
      </c>
      <c r="E10" s="50"/>
      <c r="F10" s="62"/>
      <c r="G10" s="63"/>
      <c r="H10" s="1" t="str">
        <f t="shared" si="0"/>
        <v>GPC_LANG , GPC_CD</v>
      </c>
      <c r="I10" s="47"/>
      <c r="J10" s="46" t="s">
        <v>236</v>
      </c>
      <c r="K10" s="11" t="s">
        <v>93</v>
      </c>
      <c r="L10" s="11" t="s">
        <v>191</v>
      </c>
      <c r="M10" s="12" t="s">
        <v>192</v>
      </c>
    </row>
    <row r="11" spans="1:13" x14ac:dyDescent="0.25">
      <c r="A11" s="4"/>
      <c r="B11" s="35" t="s">
        <v>94</v>
      </c>
      <c r="C11" s="36">
        <v>3298</v>
      </c>
      <c r="D11" s="36" t="s">
        <v>379</v>
      </c>
      <c r="E11" s="50"/>
      <c r="F11" s="62"/>
      <c r="G11" s="63"/>
      <c r="H11" s="1" t="str">
        <f t="shared" si="0"/>
        <v xml:space="preserve">GPC_B_CD , </v>
      </c>
      <c r="I11" s="47"/>
      <c r="J11" s="46" t="s">
        <v>236</v>
      </c>
      <c r="K11" s="11" t="s">
        <v>94</v>
      </c>
      <c r="L11" s="11" t="s">
        <v>217</v>
      </c>
      <c r="M11" s="12"/>
    </row>
    <row r="12" spans="1:13" x14ac:dyDescent="0.25">
      <c r="A12" s="4"/>
      <c r="B12" s="37" t="s">
        <v>95</v>
      </c>
      <c r="C12" s="38">
        <v>1000</v>
      </c>
      <c r="D12" s="38" t="s">
        <v>380</v>
      </c>
      <c r="E12" s="51"/>
      <c r="F12" s="64"/>
      <c r="G12" s="65"/>
      <c r="H12" s="1" t="str">
        <f t="shared" si="0"/>
        <v xml:space="preserve">PREFIX_CD , </v>
      </c>
      <c r="I12" s="47"/>
      <c r="J12" s="46" t="s">
        <v>236</v>
      </c>
      <c r="K12" s="11" t="s">
        <v>95</v>
      </c>
      <c r="L12" s="11" t="s">
        <v>218</v>
      </c>
      <c r="M12" s="12"/>
    </row>
    <row r="13" spans="1:13" x14ac:dyDescent="0.25">
      <c r="A13" s="4"/>
      <c r="B13" s="39" t="s">
        <v>96</v>
      </c>
      <c r="C13" s="40">
        <v>844270</v>
      </c>
      <c r="D13" s="40" t="s">
        <v>374</v>
      </c>
      <c r="E13" s="52"/>
      <c r="F13" s="66"/>
      <c r="G13" s="67"/>
      <c r="H13" s="1" t="str">
        <f t="shared" si="0"/>
        <v xml:space="preserve">GTIN_CD , </v>
      </c>
      <c r="I13" s="47"/>
      <c r="J13" s="46" t="s">
        <v>236</v>
      </c>
      <c r="K13" s="11" t="s">
        <v>96</v>
      </c>
      <c r="L13" s="11" t="s">
        <v>1</v>
      </c>
      <c r="M13" s="12"/>
    </row>
    <row r="14" spans="1:13" x14ac:dyDescent="0.25">
      <c r="A14" s="4"/>
      <c r="B14" s="41" t="s">
        <v>97</v>
      </c>
      <c r="C14" s="42">
        <v>231</v>
      </c>
      <c r="D14" s="42" t="s">
        <v>373</v>
      </c>
      <c r="E14" s="53"/>
      <c r="F14" s="68"/>
      <c r="G14" s="69"/>
      <c r="H14" s="1" t="str">
        <f t="shared" si="0"/>
        <v xml:space="preserve">GTIN_CD , </v>
      </c>
      <c r="I14" s="47"/>
      <c r="J14" s="11" t="s">
        <v>236</v>
      </c>
      <c r="K14" s="11" t="s">
        <v>97</v>
      </c>
      <c r="L14" s="11" t="s">
        <v>1</v>
      </c>
      <c r="M14" s="12"/>
    </row>
    <row r="15" spans="1:13" x14ac:dyDescent="0.25">
      <c r="A15" s="4"/>
      <c r="B15" s="43" t="s">
        <v>98</v>
      </c>
      <c r="C15" s="44">
        <v>42</v>
      </c>
      <c r="D15" s="44" t="s">
        <v>372</v>
      </c>
      <c r="E15" s="54"/>
      <c r="F15" s="70"/>
      <c r="G15" s="71"/>
      <c r="H15" s="1" t="str">
        <f t="shared" si="0"/>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69.75" x14ac:dyDescent="0.25">
      <c r="A62" s="23" t="s">
        <v>366</v>
      </c>
      <c r="B62" s="24" t="str">
        <f>VLOOKUP(B61,$B$3:$D$15,3)</f>
        <v>Contains all items identified by GTIN-13 code</v>
      </c>
      <c r="C62" s="6"/>
      <c r="E62" s="27" t="s">
        <v>369</v>
      </c>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60"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showGridLines="0" workbookViewId="0">
      <selection sqref="A1:F15"/>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8.710937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383</v>
      </c>
      <c r="E1" s="16" t="s">
        <v>400</v>
      </c>
      <c r="F1" s="16" t="s">
        <v>401</v>
      </c>
    </row>
    <row r="2" spans="1:8" x14ac:dyDescent="0.25">
      <c r="A2" s="32" t="s">
        <v>55</v>
      </c>
      <c r="B2" s="32">
        <v>4151</v>
      </c>
      <c r="C2" s="48" t="s">
        <v>364</v>
      </c>
      <c r="D2" s="32" t="s">
        <v>412</v>
      </c>
      <c r="E2" s="32">
        <v>4</v>
      </c>
      <c r="F2" s="32">
        <f>+E2*B2</f>
        <v>16604</v>
      </c>
    </row>
    <row r="3" spans="1:8" x14ac:dyDescent="0.25">
      <c r="A3" s="32" t="s">
        <v>88</v>
      </c>
      <c r="B3" s="32">
        <v>32</v>
      </c>
      <c r="C3" s="32" t="s">
        <v>371</v>
      </c>
      <c r="D3" s="32" t="s">
        <v>413</v>
      </c>
      <c r="E3" s="32">
        <v>4</v>
      </c>
      <c r="F3" s="32">
        <f t="shared" ref="F3:F14" si="0">+E3*B3</f>
        <v>128</v>
      </c>
    </row>
    <row r="4" spans="1:8" x14ac:dyDescent="0.25">
      <c r="A4" s="32" t="s">
        <v>85</v>
      </c>
      <c r="B4" s="32">
        <v>581</v>
      </c>
      <c r="C4" s="32" t="s">
        <v>370</v>
      </c>
      <c r="D4" s="32" t="s">
        <v>412</v>
      </c>
      <c r="E4" s="32">
        <v>2</v>
      </c>
      <c r="F4" s="32">
        <f t="shared" si="0"/>
        <v>1162</v>
      </c>
      <c r="G4" s="6"/>
      <c r="H4" s="6"/>
    </row>
    <row r="5" spans="1:8" x14ac:dyDescent="0.25">
      <c r="A5" s="32" t="s">
        <v>89</v>
      </c>
      <c r="B5" s="32">
        <v>2</v>
      </c>
      <c r="C5" s="32" t="s">
        <v>365</v>
      </c>
      <c r="D5" s="32" t="s">
        <v>411</v>
      </c>
      <c r="E5" s="32">
        <v>2</v>
      </c>
      <c r="F5" s="32">
        <f t="shared" si="0"/>
        <v>4</v>
      </c>
      <c r="G5" s="6"/>
      <c r="H5" s="6"/>
    </row>
    <row r="6" spans="1:8" x14ac:dyDescent="0.25">
      <c r="A6" s="34" t="s">
        <v>90</v>
      </c>
      <c r="B6" s="34">
        <v>1673664</v>
      </c>
      <c r="C6" s="34" t="s">
        <v>377</v>
      </c>
      <c r="D6" s="34" t="s">
        <v>410</v>
      </c>
      <c r="E6" s="34">
        <v>23</v>
      </c>
      <c r="F6" s="34">
        <f t="shared" si="0"/>
        <v>38494272</v>
      </c>
      <c r="G6" s="6"/>
      <c r="H6" s="6"/>
    </row>
    <row r="7" spans="1:8" x14ac:dyDescent="0.25">
      <c r="A7" s="34" t="s">
        <v>91</v>
      </c>
      <c r="B7" s="34">
        <v>264</v>
      </c>
      <c r="C7" s="34" t="s">
        <v>376</v>
      </c>
      <c r="D7" s="34" t="s">
        <v>381</v>
      </c>
      <c r="E7" s="34">
        <v>3</v>
      </c>
      <c r="F7" s="34">
        <f t="shared" si="0"/>
        <v>792</v>
      </c>
      <c r="G7" s="6"/>
      <c r="H7" s="6"/>
    </row>
    <row r="8" spans="1:8" x14ac:dyDescent="0.25">
      <c r="A8" s="34" t="s">
        <v>92</v>
      </c>
      <c r="B8" s="34">
        <v>16</v>
      </c>
      <c r="C8" s="34" t="s">
        <v>375</v>
      </c>
      <c r="D8" s="34" t="s">
        <v>409</v>
      </c>
      <c r="E8" s="34">
        <v>3</v>
      </c>
      <c r="F8" s="34">
        <f t="shared" si="0"/>
        <v>48</v>
      </c>
      <c r="G8" s="6"/>
      <c r="H8" s="6"/>
    </row>
    <row r="9" spans="1:8" x14ac:dyDescent="0.25">
      <c r="A9" s="36" t="s">
        <v>93</v>
      </c>
      <c r="B9" s="36">
        <v>39168</v>
      </c>
      <c r="C9" s="36" t="s">
        <v>402</v>
      </c>
      <c r="D9" s="36" t="s">
        <v>382</v>
      </c>
      <c r="E9" s="36">
        <v>5</v>
      </c>
      <c r="F9" s="36">
        <f t="shared" si="0"/>
        <v>195840</v>
      </c>
      <c r="G9" s="6"/>
      <c r="H9" s="6"/>
    </row>
    <row r="10" spans="1:8" x14ac:dyDescent="0.25">
      <c r="A10" s="36" t="s">
        <v>94</v>
      </c>
      <c r="B10" s="36">
        <v>3298</v>
      </c>
      <c r="C10" s="36" t="s">
        <v>379</v>
      </c>
      <c r="D10" s="36" t="s">
        <v>408</v>
      </c>
      <c r="E10" s="36">
        <v>4</v>
      </c>
      <c r="F10" s="36">
        <f t="shared" si="0"/>
        <v>13192</v>
      </c>
      <c r="G10" s="6"/>
      <c r="H10" s="6"/>
    </row>
    <row r="11" spans="1:8" x14ac:dyDescent="0.25">
      <c r="A11" s="38" t="s">
        <v>95</v>
      </c>
      <c r="B11" s="38">
        <v>1000</v>
      </c>
      <c r="C11" s="38" t="s">
        <v>380</v>
      </c>
      <c r="D11" s="38" t="s">
        <v>407</v>
      </c>
      <c r="E11" s="38">
        <v>3</v>
      </c>
      <c r="F11" s="38">
        <f t="shared" si="0"/>
        <v>3000</v>
      </c>
      <c r="G11" s="6"/>
      <c r="H11" s="6"/>
    </row>
    <row r="12" spans="1:8" x14ac:dyDescent="0.25">
      <c r="A12" s="83" t="s">
        <v>96</v>
      </c>
      <c r="B12" s="83">
        <v>922599</v>
      </c>
      <c r="C12" s="83" t="s">
        <v>374</v>
      </c>
      <c r="D12" s="83" t="s">
        <v>406</v>
      </c>
      <c r="E12" s="83">
        <v>21</v>
      </c>
      <c r="F12" s="83">
        <f t="shared" si="0"/>
        <v>19374579</v>
      </c>
      <c r="G12" s="6"/>
      <c r="H12" s="6"/>
    </row>
    <row r="13" spans="1:8" x14ac:dyDescent="0.25">
      <c r="A13" s="42" t="s">
        <v>97</v>
      </c>
      <c r="B13" s="42">
        <v>231</v>
      </c>
      <c r="C13" s="42" t="s">
        <v>404</v>
      </c>
      <c r="D13" s="42" t="s">
        <v>406</v>
      </c>
      <c r="E13" s="42">
        <v>30</v>
      </c>
      <c r="F13" s="42">
        <f t="shared" si="0"/>
        <v>6930</v>
      </c>
      <c r="G13" s="6"/>
      <c r="H13" s="6"/>
    </row>
    <row r="14" spans="1:8" x14ac:dyDescent="0.25">
      <c r="A14" s="44" t="s">
        <v>98</v>
      </c>
      <c r="B14" s="44">
        <v>42</v>
      </c>
      <c r="C14" s="44" t="s">
        <v>403</v>
      </c>
      <c r="D14" s="44" t="s">
        <v>405</v>
      </c>
      <c r="E14" s="44">
        <v>3</v>
      </c>
      <c r="F14" s="44">
        <f t="shared" si="0"/>
        <v>126</v>
      </c>
      <c r="G14" s="6"/>
      <c r="H14" s="6"/>
    </row>
    <row r="15" spans="1:8" x14ac:dyDescent="0.25">
      <c r="A15" s="81" t="s">
        <v>399</v>
      </c>
      <c r="B15" s="82">
        <f>SUM(B2:B14)</f>
        <v>2645048</v>
      </c>
      <c r="C15" s="82"/>
      <c r="D15" s="82"/>
      <c r="E15" s="81" t="s">
        <v>399</v>
      </c>
      <c r="F15" s="82">
        <f>SUM(F2:F14)</f>
        <v>58106677</v>
      </c>
      <c r="G15" s="6"/>
      <c r="H15" s="6"/>
    </row>
    <row r="16" spans="1:8" x14ac:dyDescent="0.25">
      <c r="A16" s="6"/>
      <c r="B16" s="6"/>
      <c r="C16" s="6"/>
      <c r="D16" s="6"/>
      <c r="E16" s="6"/>
      <c r="H16" s="6"/>
    </row>
    <row r="17" spans="1:8" x14ac:dyDescent="0.25">
      <c r="A17" s="6"/>
      <c r="B17" s="6"/>
      <c r="C17" s="6"/>
      <c r="D17" s="6"/>
      <c r="E17" s="6"/>
      <c r="H17" s="6"/>
    </row>
    <row r="18" spans="1:8" x14ac:dyDescent="0.25">
      <c r="A18" s="6"/>
      <c r="B18" s="6"/>
      <c r="C18" s="6"/>
      <c r="D18" s="6"/>
      <c r="E18" s="6"/>
      <c r="H18" s="6"/>
    </row>
    <row r="22" spans="1:8" ht="15.75" thickBot="1" x14ac:dyDescent="0.3"/>
    <row r="23" spans="1:8" ht="15.75" thickBot="1" x14ac:dyDescent="0.3">
      <c r="F23" s="73" t="s">
        <v>391</v>
      </c>
      <c r="G23" s="74" t="s">
        <v>366</v>
      </c>
    </row>
    <row r="24" spans="1:8" ht="25.5" x14ac:dyDescent="0.25">
      <c r="F24" s="84" t="s">
        <v>389</v>
      </c>
      <c r="G24" s="76" t="s">
        <v>384</v>
      </c>
    </row>
    <row r="25" spans="1:8" ht="24.75" thickBot="1" x14ac:dyDescent="0.3">
      <c r="A25" s="6"/>
      <c r="B25" s="6"/>
      <c r="F25" s="85"/>
      <c r="G25" s="75" t="s">
        <v>387</v>
      </c>
    </row>
    <row r="26" spans="1:8" ht="15.75" thickBot="1" x14ac:dyDescent="0.3">
      <c r="A26" s="6"/>
      <c r="B26" s="6"/>
      <c r="F26" s="77" t="s">
        <v>388</v>
      </c>
      <c r="G26" s="72" t="s">
        <v>385</v>
      </c>
    </row>
    <row r="27" spans="1:8" ht="15.75" thickBot="1" x14ac:dyDescent="0.3">
      <c r="A27" s="6"/>
      <c r="B27" s="6"/>
      <c r="F27" s="77" t="s">
        <v>390</v>
      </c>
      <c r="G27" s="72" t="s">
        <v>386</v>
      </c>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24:F25"/>
  </mergeCells>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
  <sheetViews>
    <sheetView workbookViewId="0">
      <selection activeCell="F15" sqref="F15"/>
    </sheetView>
  </sheetViews>
  <sheetFormatPr defaultRowHeight="15" x14ac:dyDescent="0.25"/>
  <cols>
    <col min="1" max="1" width="31.140625"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row r="1" spans="1:3" x14ac:dyDescent="0.25">
      <c r="A1" t="s">
        <v>396</v>
      </c>
      <c r="B1" t="s">
        <v>397</v>
      </c>
      <c r="C1" t="s">
        <v>398</v>
      </c>
    </row>
    <row r="2" spans="1:3" x14ac:dyDescent="0.25">
      <c r="A2" s="6" t="s">
        <v>393</v>
      </c>
      <c r="B2" s="78">
        <v>1098018</v>
      </c>
      <c r="C2" s="80">
        <f>+B2/$B$5</f>
        <v>0.65605641275668236</v>
      </c>
    </row>
    <row r="3" spans="1:3" x14ac:dyDescent="0.25">
      <c r="A3" s="6" t="s">
        <v>395</v>
      </c>
      <c r="B3" s="78">
        <v>540580</v>
      </c>
      <c r="C3" s="80">
        <f t="shared" ref="C3:C4" si="0">+B3/$B$5</f>
        <v>0.32299195059462354</v>
      </c>
    </row>
    <row r="4" spans="1:3" x14ac:dyDescent="0.25">
      <c r="A4" s="6" t="s">
        <v>394</v>
      </c>
      <c r="B4" s="78">
        <v>35066</v>
      </c>
      <c r="C4" s="80">
        <f t="shared" si="0"/>
        <v>2.0951636648694122E-2</v>
      </c>
    </row>
    <row r="5" spans="1:3" x14ac:dyDescent="0.25">
      <c r="B5" s="79">
        <f>SUM(B2:B4)</f>
        <v>1673664</v>
      </c>
    </row>
  </sheetData>
  <autoFilter ref="A1:B1">
    <sortState ref="A2:B4">
      <sortCondition descending="1" ref="B1"/>
    </sortState>
  </autoFilter>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3A60B317-1472-4057-A3DB-4C1114CBD0B4}">
  <ds:schemaRefs/>
</ds:datastoreItem>
</file>

<file path=customXml/itemProps2.xml><?xml version="1.0" encoding="utf-8"?>
<ds:datastoreItem xmlns:ds="http://schemas.openxmlformats.org/officeDocument/2006/customXml" ds:itemID="{0D677468-8A3E-48CA-B6A7-2B0A6AB3CF4E}">
  <ds:schemaRefs/>
</ds:datastoreItem>
</file>

<file path=customXml/itemProps3.xml><?xml version="1.0" encoding="utf-8"?>
<ds:datastoreItem xmlns:ds="http://schemas.openxmlformats.org/officeDocument/2006/customXml" ds:itemID="{1CF4357A-5A70-4F6E-BDC3-E60096E44AD7}">
  <ds:schemaRefs/>
</ds:datastoreItem>
</file>

<file path=customXml/itemProps4.xml><?xml version="1.0" encoding="utf-8"?>
<ds:datastoreItem xmlns:ds="http://schemas.openxmlformats.org/officeDocument/2006/customXml" ds:itemID="{E7A990F4-1248-44A6-9356-AADEC468DEC0}">
  <ds:schemaRefs/>
</ds:datastoreItem>
</file>

<file path=customXml/itemProps5.xml><?xml version="1.0" encoding="utf-8"?>
<ds:datastoreItem xmlns:ds="http://schemas.openxmlformats.org/officeDocument/2006/customXml" ds:itemID="{AD08BD7E-1CE1-442E-928C-D6C3939271AE}">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111D20B5-1E5D-4289-9285-C8AEA4584BD7}">
  <ds:schemaRefs/>
</ds:datastoreItem>
</file>

<file path=customXml/itemProps8.xml><?xml version="1.0" encoding="utf-8"?>
<ds:datastoreItem xmlns:ds="http://schemas.openxmlformats.org/officeDocument/2006/customXml" ds:itemID="{11AC8883-312E-4B82-B025-3E274C6E439B}">
  <ds:schemaRefs/>
</ds:datastoreItem>
</file>

<file path=customXml/itemProps9.xml><?xml version="1.0" encoding="utf-8"?>
<ds:datastoreItem xmlns:ds="http://schemas.openxmlformats.org/officeDocument/2006/customXml" ds:itemID="{92469C5B-23A9-4F5D-A5EE-C1B49A196899}">
  <ds:schemaRefs/>
</ds:datastoreItem>
</file>

<file path=customXml/itemProps10.xml><?xml version="1.0" encoding="utf-8"?>
<ds:datastoreItem xmlns:ds="http://schemas.openxmlformats.org/officeDocument/2006/customXml" ds:itemID="{BA926031-762E-4660-A678-86CA3E5D7892}">
  <ds:schemaRefs/>
</ds:datastoreItem>
</file>

<file path=customXml/itemProps11.xml><?xml version="1.0" encoding="utf-8"?>
<ds:datastoreItem xmlns:ds="http://schemas.openxmlformats.org/officeDocument/2006/customXml" ds:itemID="{89DBDAA6-14CD-4869-9CCF-F5F72E66AADD}">
  <ds:schemaRefs/>
</ds:datastoreItem>
</file>

<file path=customXml/itemProps12.xml><?xml version="1.0" encoding="utf-8"?>
<ds:datastoreItem xmlns:ds="http://schemas.openxmlformats.org/officeDocument/2006/customXml" ds:itemID="{89913DA8-4959-4811-9B3A-25335D17AC4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Schema</vt:lpstr>
      <vt:lpstr>Tables</vt:lpstr>
      <vt:lpstr>Sheet3</vt:lpstr>
      <vt:lpstr>Sheet4</vt:lpstr>
      <vt:lpstr>Schema!brand</vt:lpstr>
      <vt:lpstr>Schema!brand_owner</vt:lpstr>
      <vt:lpstr>Schema!brand_owner_bsin</vt:lpstr>
      <vt:lpstr>Schema!brand_type</vt:lpstr>
      <vt:lpstr>Schema!ExternalData</vt:lpstr>
      <vt:lpstr>Schema!gs1_gcp</vt:lpstr>
      <vt:lpstr>Schema!gs1_gcp_gpc</vt:lpstr>
      <vt:lpstr>Schema!gs1_gcp_hier</vt:lpstr>
      <vt:lpstr>gs1_gcp_nb</vt:lpstr>
      <vt:lpstr>Schema!gs1_gcp_rc</vt:lpstr>
      <vt:lpstr>Schema!gs1_prefix</vt:lpstr>
      <vt:lpstr>Schema!gtin</vt:lpstr>
      <vt:lpstr>Schema!GTIN_Tables_And_Record_Counts</vt:lpstr>
      <vt:lpstr>Schema!nutrition</vt:lpstr>
      <vt:lpstr>pkg_type</vt:lpstr>
      <vt:lpstr>Schema!Print_Area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2016-12-08T04:32:41Z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